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0_Hướng dẫn" sheetId="1" state="visible" r:id="rId1"/>
    <sheet xmlns:r="http://schemas.openxmlformats.org/officeDocument/2006/relationships" name="0_Đầu vào" sheetId="2" state="visible" r:id="rId2"/>
    <sheet xmlns:r="http://schemas.openxmlformats.org/officeDocument/2006/relationships" name="1_Danh sách việc" sheetId="3" state="visible" r:id="rId3"/>
    <sheet xmlns:r="http://schemas.openxmlformats.org/officeDocument/2006/relationships" name="2_Mức tự động" sheetId="4" state="visible" r:id="rId4"/>
    <sheet xmlns:r="http://schemas.openxmlformats.org/officeDocument/2006/relationships" name="3_Bảng lộ trình" sheetId="5" state="visible" r:id="rId5"/>
    <sheet xmlns:r="http://schemas.openxmlformats.org/officeDocument/2006/relationships" name="4_Rà soát" sheetId="6" state="visible" r:id="rId6"/>
    <sheet xmlns:r="http://schemas.openxmlformats.org/officeDocument/2006/relationships" name="5_Slide lãnh đạo" sheetId="7" state="visible" r:id="rId7"/>
    <sheet xmlns:r="http://schemas.openxmlformats.org/officeDocument/2006/relationships" name="6_Tự kiểm tra" sheetId="8" state="visible" r:id="rId8"/>
    <sheet xmlns:r="http://schemas.openxmlformats.org/officeDocument/2006/relationships" name="7_Thang điểm" sheetId="9" state="visible" r:id="rId9"/>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RED]\-#,##0"/>
    <numFmt numFmtId="165" formatCode="0.0"/>
  </numFmts>
  <fonts count="11">
    <font>
      <name val="Calibri"/>
      <charset val="1"/>
      <family val="2"/>
      <color theme="1"/>
      <sz val="11"/>
    </font>
    <font>
      <name val="Arial"/>
      <family val="0"/>
      <sz val="10"/>
    </font>
    <font>
      <name val="Arial"/>
      <family val="0"/>
      <sz val="10"/>
    </font>
    <font>
      <name val="Arial"/>
      <family val="0"/>
      <sz val="10"/>
    </font>
    <font>
      <name val="Cambria"/>
      <charset val="1"/>
      <family val="0"/>
      <b val="1"/>
      <sz val="14"/>
    </font>
    <font>
      <name val="Cambria"/>
      <charset val="1"/>
      <family val="0"/>
      <i val="1"/>
      <color rgb="FF595959"/>
      <sz val="11"/>
    </font>
    <font>
      <name val="Cambria"/>
      <charset val="1"/>
      <family val="0"/>
      <b val="1"/>
      <color rgb="FFFFFFFF"/>
      <sz val="11"/>
    </font>
    <font>
      <name val="Cambria"/>
      <charset val="1"/>
      <family val="0"/>
      <b val="1"/>
      <sz val="11"/>
    </font>
    <font>
      <name val="Calibri"/>
      <charset val="1"/>
      <family val="0"/>
      <sz val="11"/>
    </font>
    <font>
      <name val="Calibri"/>
      <charset val="1"/>
      <family val="0"/>
      <i val="1"/>
      <color rgb="FF595959"/>
      <sz val="10"/>
    </font>
    <font>
      <name val="Cambria"/>
      <charset val="1"/>
      <family val="0"/>
      <b val="1"/>
      <sz val="12"/>
    </font>
  </fonts>
  <fills count="5">
    <fill>
      <patternFill/>
    </fill>
    <fill>
      <patternFill patternType="gray125"/>
    </fill>
    <fill>
      <patternFill patternType="solid">
        <fgColor rgb="FFFFF2CC"/>
        <bgColor rgb="FFE2EFDA"/>
      </patternFill>
    </fill>
    <fill>
      <patternFill patternType="solid">
        <fgColor rgb="FFE2EFDA"/>
        <bgColor rgb="FFFFF2CC"/>
      </patternFill>
    </fill>
    <fill>
      <patternFill patternType="solid">
        <fgColor rgb="FF1F3864"/>
        <bgColor rgb="FF333333"/>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0" fillId="2" borderId="0" applyAlignment="1" pivotButton="0" quotePrefix="0" xfId="0">
      <alignment horizontal="general" vertical="bottom"/>
    </xf>
    <xf numFmtId="0" fontId="0" fillId="3" borderId="0" applyAlignment="1" pivotButton="0" quotePrefix="0" xfId="0">
      <alignment horizontal="general" vertical="bottom"/>
    </xf>
    <xf numFmtId="0" fontId="6" fillId="4" borderId="0" applyAlignment="1" pivotButton="0" quotePrefix="0" xfId="0">
      <alignment horizontal="general" vertical="bottom" wrapText="1"/>
    </xf>
    <xf numFmtId="0" fontId="0" fillId="0" borderId="1" applyAlignment="1" pivotButton="0" quotePrefix="0" xfId="0">
      <alignment horizontal="general" vertical="top" wrapText="1"/>
    </xf>
    <xf numFmtId="0" fontId="0" fillId="2" borderId="1" applyAlignment="1" applyProtection="1" pivotButton="0" quotePrefix="0" xfId="0">
      <alignment horizontal="general" vertical="top" wrapText="1"/>
      <protection locked="0" hidden="0"/>
    </xf>
    <xf numFmtId="0" fontId="7" fillId="0" borderId="0" applyAlignment="1" pivotButton="0" quotePrefix="0" xfId="0">
      <alignment horizontal="general" vertical="bottom"/>
    </xf>
    <xf numFmtId="0" fontId="6" fillId="4" borderId="0" applyAlignment="1" pivotButton="0" quotePrefix="0" xfId="0">
      <alignment horizontal="general" vertical="center" wrapText="1"/>
    </xf>
    <xf numFmtId="0" fontId="0" fillId="0" borderId="1" applyAlignment="1" pivotButton="0" quotePrefix="0" xfId="0">
      <alignment horizontal="general" vertical="bottom"/>
    </xf>
    <xf numFmtId="0" fontId="0" fillId="3" borderId="1" applyAlignment="1" pivotButton="0" quotePrefix="0" xfId="0">
      <alignment horizontal="general" vertical="top" wrapText="1"/>
    </xf>
    <xf numFmtId="0" fontId="0" fillId="3" borderId="1" applyAlignment="1" pivotButton="0" quotePrefix="0" xfId="0">
      <alignment horizontal="center" vertical="bottom"/>
    </xf>
    <xf numFmtId="0" fontId="8" fillId="2" borderId="0" applyAlignment="1" applyProtection="1" pivotButton="0" quotePrefix="0" xfId="0">
      <alignment horizontal="general" vertical="bottom"/>
      <protection locked="0" hidden="0"/>
    </xf>
    <xf numFmtId="9" fontId="8" fillId="2" borderId="0" applyAlignment="1" applyProtection="1" pivotButton="0" quotePrefix="0" xfId="0">
      <alignment horizontal="general" vertical="bottom"/>
      <protection locked="0" hidden="0"/>
    </xf>
    <xf numFmtId="164" fontId="8" fillId="3" borderId="0" applyAlignment="1" pivotButton="0" quotePrefix="0" xfId="0">
      <alignment horizontal="general" vertical="bottom"/>
    </xf>
    <xf numFmtId="9" fontId="8" fillId="3" borderId="0" applyAlignment="1" pivotButton="0" quotePrefix="0" xfId="0">
      <alignment horizontal="general" vertical="bottom"/>
    </xf>
    <xf numFmtId="0" fontId="8" fillId="3" borderId="0" applyAlignment="1" pivotButton="0" quotePrefix="0" xfId="0">
      <alignment horizontal="general" vertical="bottom"/>
    </xf>
    <xf numFmtId="0" fontId="8" fillId="0" borderId="0" applyAlignment="1" pivotButton="0" quotePrefix="0" xfId="0">
      <alignment horizontal="general" vertical="bottom"/>
    </xf>
    <xf numFmtId="164" fontId="8" fillId="2" borderId="0" applyAlignment="1" applyProtection="1" pivotButton="0" quotePrefix="0" xfId="0">
      <alignment horizontal="general" vertical="bottom"/>
      <protection locked="0" hidden="0"/>
    </xf>
    <xf numFmtId="0" fontId="9" fillId="0" borderId="0" applyAlignment="1" pivotButton="0" quotePrefix="0" xfId="0">
      <alignment horizontal="general" vertical="bottom"/>
    </xf>
    <xf numFmtId="165" fontId="8" fillId="2" borderId="0" applyAlignment="1" applyProtection="1" pivotButton="0" quotePrefix="0" xfId="0">
      <alignment horizontal="general" vertical="bottom"/>
      <protection locked="0" hidden="0"/>
    </xf>
    <xf numFmtId="1" fontId="8" fillId="2" borderId="0" applyAlignment="1" applyProtection="1" pivotButton="0" quotePrefix="0" xfId="0">
      <alignment horizontal="general" vertical="bottom"/>
      <protection locked="0" hidden="0"/>
    </xf>
    <xf numFmtId="0" fontId="7" fillId="0" borderId="1" applyAlignment="1" pivotButton="0" quotePrefix="0" xfId="0">
      <alignment horizontal="general" vertical="top" wrapText="1"/>
    </xf>
    <xf numFmtId="0" fontId="7" fillId="0" borderId="1" applyAlignment="1" pivotButton="0" quotePrefix="0" xfId="0">
      <alignment horizontal="general" vertical="bottom"/>
    </xf>
    <xf numFmtId="1" fontId="8" fillId="3" borderId="0" applyAlignment="1" pivotButton="0" quotePrefix="0" xfId="0">
      <alignment horizontal="general" vertical="bottom"/>
    </xf>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bottom"/>
      <protection locked="0" hidden="0"/>
    </xf>
    <xf numFmtId="0" fontId="10"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1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0" customWidth="1" style="32" min="1" max="1"/>
  </cols>
  <sheetData>
    <row r="1" ht="17.25" customHeight="1" s="33">
      <c r="A1" s="34" t="inlineStr">
        <is>
          <t>CS13 · Lộ trình sản phẩm AI — File thực hành · Đề 3 · RaViện</t>
        </is>
      </c>
    </row>
    <row r="2" ht="15" customHeight="1" s="33">
      <c r="A2" s="35" t="inlineStr">
        <is>
          <t>AI in Action · Track 1 · Khóa 4. FILE LÀM BÀI CỦA NHÓM · Đề 3 · RaViện. Dữ liệu của đề nằm trong file CS13_HoSoTinhHuong.pdf; file CS13_Roadmap_Mau.xlsx là bản mẫu đã điền (một sản phẩm khác) để xem cách điền.</t>
        </is>
      </c>
    </row>
    <row r="4" ht="15" customHeight="1" s="33">
      <c r="A4" s="32" t="inlineStr">
        <is>
          <t>Luật chơi: CHỈ điền vào ô màu VÀNG. Ô màu XANH là công thức và đã được khóa. Bắt đầu bằng trang 0_Đầu vào (Nhiệm vụ 0: đọc hồ sơ tình huống).</t>
        </is>
      </c>
    </row>
    <row r="5" ht="15" customHeight="1" s="33">
      <c r="A5" s="32" t="inlineStr">
        <is>
          <t>Thứ tự làm: 0 Đọc hồ sơ → 1 Danh sách việc → 2 Mức tự động → 3 Bảng lộ trình → 4 Rà soát → 6 Tự kiểm tra. Trang 5 (slide lãnh đạo) làm ở nhà.</t>
        </is>
      </c>
    </row>
    <row r="6" ht="15" customHeight="1" s="33">
      <c r="A6" s="32" t="inlineStr">
        <is>
          <t>Số liệu kinh tế của đề đã điền sẵn ở trang 2, dòng 12–20. Không cần file của buổi nào khác: mọi dữ liệu cần dùng nằm trong hồ sơ tình huống, Đề 3.</t>
        </is>
      </c>
    </row>
    <row r="7" ht="15" customHeight="1" s="33">
      <c r="A7" s="32" t="inlineStr">
        <is>
          <t>Lộ trình theo GIẢ THUYẾT: mỗi hạng mục phải trả lời 'Ta tin rằng làm X sẽ giúp Y đạt Z; biết đúng khi chỉ số W đạt ngưỡng V'.</t>
        </is>
      </c>
    </row>
    <row r="8" ht="15" customHeight="1" s="33">
      <c r="A8" s="32" t="inlineStr">
        <is>
          <t>Tên file nộp: [Nhom]_CS13.xlsx · Nộp bản có Nhiệm vụ 1–4 lên VLearn trước 18:00 ngày 16/10. Trang 5 (Nhiệm vụ 5, làm ở nhà) nộp trước 23:59 ngày 19/10.</t>
        </is>
      </c>
    </row>
    <row r="9" ht="15" customHeight="1" s="33">
      <c r="A9" s="32" t="inlineStr">
        <is>
          <t>Tuân thủ: Luật Trí tuệ nhân tạo số 134/2025/QH15 (hiệu lực 01/3/2026) chia hệ thống AI thành 3 mức rủi ro và yêu cầu người dùng được thông tin khi tương tác với AI. Đọc văn bản gốc trước khi ghi vào bài.</t>
        </is>
      </c>
    </row>
    <row r="11" ht="15" customHeight="1" s="33">
      <c r="A11" s="32" t="inlineStr">
        <is>
          <t>Chú thích màu:</t>
        </is>
      </c>
    </row>
    <row r="12" ht="15" customHeight="1" s="33">
      <c r="A12" s="36" t="inlineStr">
        <is>
          <t>Ô điền giả định (không khóa)</t>
        </is>
      </c>
    </row>
    <row r="13" ht="15" customHeight="1" s="33">
      <c r="A13" s="37" t="inlineStr">
        <is>
          <t>Ô công thức (tự tính, đã khóa)</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52" customWidth="1" style="32" min="1" max="1"/>
    <col width="14" customWidth="1" style="32" min="2" max="2"/>
    <col width="46" customWidth="1" style="32" min="3" max="4"/>
    <col width="36" customWidth="1" style="32" min="5" max="5"/>
  </cols>
  <sheetData>
    <row r="1" ht="17.25" customHeight="1" s="33">
      <c r="A1" s="34" t="inlineStr">
        <is>
          <t>0 · Nhiệm vụ 0: đọc hồ sơ tình huống, Đề 3 (5 phút)</t>
        </is>
      </c>
    </row>
    <row r="2" ht="15" customHeight="1" s="33">
      <c r="A2" s="35" t="inlineStr">
        <is>
          <t>Cả nhóm đọc cùng một hồ sơ trước khi điền. Nhiệm vụ 0 không tính điểm; đánh dấu "Có" khi cả nhóm đã đọc mục đó.</t>
        </is>
      </c>
    </row>
    <row r="4" ht="26.25" customHeight="1" s="33">
      <c r="A4" s="38" t="inlineStr">
        <is>
          <t>Mục trong hồ sơ tình huống</t>
        </is>
      </c>
      <c r="B4" s="38" t="inlineStr">
        <is>
          <t>Nhóm đã đọc chưa?</t>
        </is>
      </c>
      <c r="C4" s="38" t="inlineStr">
        <is>
          <t>Dùng ở đâu trong file</t>
        </is>
      </c>
      <c r="D4" s="38" t="inlineStr">
        <is>
          <t>Lưu ý</t>
        </is>
      </c>
      <c r="E4" s="38" t="inlineStr">
        <is>
          <t>Ghi chú của nhóm</t>
        </is>
      </c>
    </row>
    <row r="5" ht="33.75" customHeight="1" s="33">
      <c r="A5" s="39" t="inlineStr">
        <is>
          <t>Số liệu kinh tế của đề (9 dòng)</t>
        </is>
      </c>
      <c r="B5" s="40" t="inlineStr">
        <is>
          <t>Có</t>
        </is>
      </c>
      <c r="C5" s="39" t="inlineStr">
        <is>
          <t>Đã điền sẵn ở trang 2, dòng 12–20: chi phí mỗi việc, biên lợi nhuận, điều kiện dừng</t>
        </is>
      </c>
      <c r="D5" s="39" t="inlineStr">
        <is>
          <t>Đọc để hiểu; không cần chép</t>
        </is>
      </c>
      <c r="E5" s="40" t="inlineStr">
        <is>
          <t>Giá 15 triệu/khoa/tháng = 12.500 đ/bản nháp; DS kiểm 3 phút × 150.000 đ/giờ; hết tiền tháng 9 nếu ký chậm 6 tháng.</t>
        </is>
      </c>
    </row>
    <row r="6" ht="33.75" customHeight="1" s="33">
      <c r="A6" s="39" t="inlineStr">
        <is>
          <t>Bối cảnh, sản phẩm, "1 việc" là gì</t>
        </is>
      </c>
      <c r="B6" s="40" t="inlineStr">
        <is>
          <t>Có</t>
        </is>
      </c>
      <c r="C6" s="39" t="inlineStr">
        <is>
          <t>Giả thuyết và chỉ số ở trang 1</t>
        </is>
      </c>
      <c r="D6" s="39" t="inlineStr">
        <is>
          <t>Viết giả thuyết theo đúng "1 việc" của đề</t>
        </is>
      </c>
      <c r="E6" s="40" t="inlineStr">
        <is>
          <t>1 việc = 1 bản nháp tóm tắt ra viện cho 1 người bệnh. ~40 người ra viện/ngày, bác sĩ mất 15–20 phút/bản. Máy không bao giờ tự gửi người bệnh.</t>
        </is>
      </c>
    </row>
    <row r="7" ht="33.75" customHeight="1" s="33">
      <c r="A7" s="39" t="inlineStr">
        <is>
          <t>6 việc gợi ý</t>
        </is>
      </c>
      <c r="B7" s="40" t="inlineStr">
        <is>
          <t>Có</t>
        </is>
      </c>
      <c r="C7" s="39" t="inlineStr">
        <is>
          <t>Trang 1, cột B–C; nhóm được thêm việc của mình</t>
        </is>
      </c>
      <c r="D7" s="39" t="inlineStr">
        <is>
          <t>Giữ, bỏ hay đổi thứ tự đều phải ghi lý do ở cột Q</t>
        </is>
      </c>
      <c r="E7" s="40" t="inlineStr">
        <is>
          <t>Giữ cả 6 việc gợi ý, thêm việc 7 (đo tỷ lệ bản phải sửa nhiều) vì đó là biến nguy hiểm nhất.</t>
        </is>
      </c>
    </row>
    <row r="8" ht="33.75" customHeight="1" s="33">
      <c r="A8" s="39" t="inlineStr">
        <is>
          <t>Kết quả đánh giá đã có (bộ đề, cổng phát hành)</t>
        </is>
      </c>
      <c r="B8" s="40" t="inlineStr">
        <is>
          <t>Có</t>
        </is>
      </c>
      <c r="C8" s="39" t="inlineStr">
        <is>
          <t>Cổng đánh giá ở trang 2; việc cần làm trước ở trang 3</t>
        </is>
      </c>
      <c r="D8" s="39" t="inlineStr">
        <is>
          <t>Đề 2, 3: kết luận chưa phải "Phát hành" → có việc phải làm trước</t>
        </is>
      </c>
      <c r="E8" s="40" t="inlineStr">
        <is>
          <t>CHƯA PHÁT HÀNH: 1 lỗi nghiêm trọng (liều insulin tối ghi thành sáng). Phải thêm 5 ca insulin, sửa, chạy lại cả bộ đề đến 0 lỗi nghiêm trọng.</t>
        </is>
      </c>
    </row>
    <row r="9" ht="33.75" customHeight="1" s="33">
      <c r="A9" s="39" t="inlineStr">
        <is>
          <t>Chuyên gia và số giờ của họ</t>
        </is>
      </c>
      <c r="B9" s="40" t="inlineStr">
        <is>
          <t>Có</t>
        </is>
      </c>
      <c r="C9" s="39" t="inlineStr">
        <is>
          <t>Dòng "Điều kiện cần" ở trang 3; ô "Cần gì" ở trang 5</t>
        </is>
      </c>
      <c r="D9" s="39" t="inlineStr">
        <is>
          <t>Dẫn đúng số giờ trong hồ sơ</t>
        </is>
      </c>
      <c r="E9" s="40" t="inlineStr">
        <is>
          <t>BS. Phương (trưởng khoa nội 18 năm), DS. Hải (dược sĩ lâm sàng 7 năm). 1 vòng chấm bộ đề 40 hồ sơ ≈ 20,3 giờ; phần thuốc do DS. Hải chấm.</t>
        </is>
      </c>
    </row>
    <row r="10" ht="33.75" customHeight="1" s="33">
      <c r="A10" s="39" t="inlineStr">
        <is>
          <t>Gợi ý về người duyệt và mức tự động</t>
        </is>
      </c>
      <c r="B10" s="40" t="inlineStr">
        <is>
          <t>Có</t>
        </is>
      </c>
      <c r="C10" s="39" t="inlineStr">
        <is>
          <t>Trang 2, cột H và I</t>
        </is>
      </c>
      <c r="D10" s="39" t="inlineStr">
        <is>
          <t>Đề 3: bác sĩ của bệnh viện không tính vào chi phí</t>
        </is>
      </c>
      <c r="E10" s="40" t="inlineStr">
        <is>
          <t>Bác sĩ bệnh viện luôn đọc, sửa, ký 100% (không tính chi phí). Người duyệt của mình = dược sĩ kiểm phần thuốc. Mức 3 = Không làm.</t>
        </is>
      </c>
    </row>
    <row r="12" ht="15" customHeight="1" s="33">
      <c r="A12" s="41" t="inlineStr">
        <is>
          <t>Số mục nhóm đã đọc</t>
        </is>
      </c>
      <c r="B12" s="37">
        <f>COUNTIF(B5:B10,"Có")</f>
        <v/>
      </c>
    </row>
    <row r="13" ht="15" customHeight="1" s="33">
      <c r="A13" s="35" t="inlineStr">
        <is>
          <t>Đủ 6/6 thì sang Nhiệm vụ 1.</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B5:B10" showDropDown="0" showInputMessage="0" showErrorMessage="0" allowBlank="1" type="list" errorStyle="stop" operator="between">
      <formula1>"Có,Chưa"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Q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 customWidth="1" style="32" min="1" max="1"/>
    <col width="30" customWidth="1" style="32" min="2" max="2"/>
    <col width="28" customWidth="1" style="32" min="3" max="3"/>
    <col width="38" customWidth="1" style="32" min="4" max="4"/>
    <col width="32" customWidth="1" style="32" min="5" max="5"/>
    <col width="8" customWidth="1" style="32" min="6" max="7"/>
    <col width="11" customWidth="1" style="32" min="8" max="8"/>
    <col width="8" customWidth="1" style="32" min="9" max="9"/>
    <col width="11" customWidth="1" style="32" min="10" max="10"/>
    <col width="10" customWidth="1" style="32" min="11" max="11"/>
    <col width="13" customWidth="1" style="32" min="12" max="12"/>
    <col width="10" customWidth="1" style="32" min="13" max="14"/>
    <col width="12" customWidth="1" style="32" min="15" max="15"/>
    <col width="14" customWidth="1" style="32" min="16" max="16"/>
    <col width="58" customWidth="1" style="32" min="17" max="17"/>
  </cols>
  <sheetData>
    <row r="1" ht="17.25" customHeight="1" s="33">
      <c r="A1" s="34" t="inlineStr">
        <is>
          <t>1 · Danh sách việc và chấm điểm ưu tiên</t>
        </is>
      </c>
    </row>
    <row r="2" ht="15" customHeight="1" s="33">
      <c r="A2" s="35" t="inlineStr">
        <is>
          <t>Điểm = Độ phủ × Tác động × Mức tự tin ÷ Công sức × (0,5 + 0,5 × sẵn sàng trung bình của dữ liệu và đánh giá) × (1 − 0,5 × rủi ro bị 'nuốt')</t>
        </is>
      </c>
    </row>
    <row r="4" ht="39" customHeight="1" s="33">
      <c r="A4" s="42" t="inlineStr">
        <is>
          <t>STT</t>
        </is>
      </c>
      <c r="B4" s="42" t="inlineStr">
        <is>
          <t>Việc</t>
        </is>
      </c>
      <c r="C4" s="42" t="inlineStr">
        <is>
          <t>Kết quả muốn đạt</t>
        </is>
      </c>
      <c r="D4" s="42" t="inlineStr">
        <is>
          <t>Giả thuyết (Ta tin rằng…)</t>
        </is>
      </c>
      <c r="E4" s="42" t="inlineStr">
        <is>
          <t>Chỉ số thành công và ngưỡng</t>
        </is>
      </c>
      <c r="F4" s="42" t="inlineStr">
        <is>
          <t>Độ phủ 1–5</t>
        </is>
      </c>
      <c r="G4" s="42" t="inlineStr">
        <is>
          <t>Tác động 1–5</t>
        </is>
      </c>
      <c r="H4" s="42" t="inlineStr">
        <is>
          <t>Mức tự tin 0,5 / 0,8 / 1</t>
        </is>
      </c>
      <c r="I4" s="42" t="inlineStr">
        <is>
          <t>Công sức 1–5</t>
        </is>
      </c>
      <c r="J4" s="42" t="inlineStr">
        <is>
          <t>Sẵn sàng dữ liệu 0–1</t>
        </is>
      </c>
      <c r="K4" s="42" t="inlineStr">
        <is>
          <t>Sẵn sàng đánh giá 0–1</t>
        </is>
      </c>
      <c r="L4" s="42" t="inlineStr">
        <is>
          <t>Rủi ro bị nuốt 0–1</t>
        </is>
      </c>
      <c r="M4" s="42" t="inlineStr">
        <is>
          <t>ĐIỂM</t>
        </is>
      </c>
      <c r="N4" s="42" t="inlineStr">
        <is>
          <t>Xếp hạng</t>
        </is>
      </c>
      <c r="O4" s="42" t="inlineStr">
        <is>
          <t>Chỉ số có con số?</t>
        </is>
      </c>
      <c r="P4" s="42" t="inlineStr">
        <is>
          <t>Tự làm / Mua / Chờ / Không làm</t>
        </is>
      </c>
      <c r="Q4" s="42" t="inlineStr">
        <is>
          <t>Lý do (đổi thứ tự, chọn mua hay chờ…)</t>
        </is>
      </c>
    </row>
    <row r="5" ht="34.5" customHeight="1" s="33">
      <c r="A5" s="43" t="n">
        <v>1</v>
      </c>
      <c r="B5" s="40" t="inlineStr">
        <is>
          <t>Soạn nháp diễn biến và chẩn đoán từ hồ sơ</t>
        </is>
      </c>
      <c r="C5" s="40" t="inlineStr">
        <is>
          <t>Bác sĩ bớt 2/3 thời gian viết tóm tắt</t>
        </is>
      </c>
      <c r="D5" s="40" t="inlineStr">
        <is>
          <t>Ta tin rằng soạn sẵn bản nháp tóm tắt ra viện (lý do vào viện, diễn biến, kết quả chính, hẹn tái khám) cho bác sĩ khoa nội sẽ giúp họ hoàn tất mỗi bản trong ≤ 6 phút thay vì 15–20 phút.</t>
        </is>
      </c>
      <c r="E5" s="40" t="inlineStr">
        <is>
          <t>Thời gian bác sĩ hoàn tất 1 bản ≤ 6 phút (giảm ≥ 2/3), đo trên ≥ 300 bản trong thử nghiệm; tỷ lệ bản phải sửa nhiều ≤ 30%; 0 lỗi nghiêm trọng.</t>
        </is>
      </c>
      <c r="F5" s="40" t="n">
        <v>5</v>
      </c>
      <c r="G5" s="40" t="n">
        <v>5</v>
      </c>
      <c r="H5" s="40" t="n">
        <v>0.8</v>
      </c>
      <c r="I5" s="40" t="n">
        <v>3</v>
      </c>
      <c r="J5" s="40" t="n">
        <v>0.8</v>
      </c>
      <c r="K5" s="40" t="n">
        <v>0.8</v>
      </c>
      <c r="L5" s="40" t="n">
        <v>0.3</v>
      </c>
      <c r="M5" s="44">
        <f>IF(COUNT(F5:L5)&lt;7,"",ROUND(F5*G5*H5/I5*(0.5+0.5*AVERAGE(J5:K5))*(1-0.5*L5),2))</f>
        <v/>
      </c>
      <c r="N5" s="44">
        <f>IF(M5="","",RANK(M5,$M$5:$M$14))</f>
        <v/>
      </c>
      <c r="O5" s="45">
        <f>IF(B5="","",IF(OR(D5="",E5=""),"Thiếu",IF(SUMPRODUCT(--ISNUMBER(SEARCH({"0","1","2","3","4","5","6","7","8","9"},E5)))&gt;0,"Có","Thiếu")))</f>
        <v/>
      </c>
      <c r="P5" s="46" t="inlineStr">
        <is>
          <t>Tự làm</t>
        </is>
      </c>
      <c r="Q5" s="46" t="inlineStr">
        <is>
          <t>Giá trị cốt lõi: 40 bản/ngày × 15–20 phút ≈ 10–13 giờ bác sĩ/ngày; là thứ bệnh viện trả 15 triệu/khoa/tháng (12.500 đ/bản). Xếp hạng 2 và chỉ chạy thật SAU khi việc 2 qua cổng, vì bộ đề còn 1 lỗi nghiêm trọng. Tỷ lệ đạt bộ đề đã 96,6% (≥ 95%) nên tự tin 0,8, chưa phải 1 vì chưa thử thật.</t>
        </is>
      </c>
    </row>
    <row r="6" ht="23.25" customHeight="1" s="33">
      <c r="A6" s="43" t="n">
        <v>2</v>
      </c>
      <c r="B6" s="40" t="inlineStr">
        <is>
          <t>Đối chiếu thuốc ra viện với y lệnh cuối</t>
        </is>
      </c>
      <c r="C6" s="40" t="inlineStr">
        <is>
          <t>Không sai thuốc khi ra viện</t>
        </is>
      </c>
      <c r="D6" s="40" t="inlineStr">
        <is>
          <t>Ta tin rằng tự đối chiếu thuốc ra viện (tên, liều, giờ dùng) với y lệnh cuối và gắn cờ mọi chênh lệch cho dược sĩ/bác sĩ sẽ đưa lỗi thuốc nghiêm trọng của bản nháp về 0.</t>
        </is>
      </c>
      <c r="E6" s="40" t="inlineStr">
        <is>
          <t>0 lỗi nghiêm trọng trên bộ đề 45 hồ sơ (40 cũ + 5 ca insulin); trong thử nghiệm 0 lỗi thuốc lọt đến người bệnh và cờ bắt 100% chênh lệch liều/giờ mà DS tìm thấy trên ≥ 1.500 bản.</t>
        </is>
      </c>
      <c r="F6" s="40" t="n">
        <v>5</v>
      </c>
      <c r="G6" s="40" t="n">
        <v>5</v>
      </c>
      <c r="H6" s="40" t="n">
        <v>1</v>
      </c>
      <c r="I6" s="40" t="n">
        <v>2</v>
      </c>
      <c r="J6" s="40" t="n">
        <v>0.8</v>
      </c>
      <c r="K6" s="40" t="n">
        <v>0.8</v>
      </c>
      <c r="L6" s="40" t="n">
        <v>0.3</v>
      </c>
      <c r="M6" s="44">
        <f>IF(COUNT(F6:L6)&lt;7,"",ROUND(F6*G6*H6/I6*(0.5+0.5*AVERAGE(J6:K6))*(1-0.5*L6),2))</f>
        <v/>
      </c>
      <c r="N6" s="44">
        <f>IF(M6="","",RANK(M6,$M$5:$M$14))</f>
        <v/>
      </c>
      <c r="O6" s="45">
        <f>IF(B6="","",IF(OR(D6="",E6=""),"Thiếu",IF(SUMPRODUCT(--ISNUMBER(SEARCH({"0","1","2","3","4","5","6","7","8","9"},E6)))&gt;0,"Có","Thiếu")))</f>
        <v/>
      </c>
      <c r="P6" s="46" t="inlineStr">
        <is>
          <t>Tự làm</t>
        </is>
      </c>
      <c r="Q6" s="46" t="inlineStr">
        <is>
          <t>LÀM TRƯỚC: lỗi nghiêm trọng duy nhất là liều insulin tối → sáng; hồ sơ yêu cầu 0 lỗi nghiêm trọng mới được thử nghiệm. "Một lỗi thuốc lọt đến người bệnh là dừng ngay" (BS. Phương). Bằng chứng chắc (tự tin 1), công sức vừa (so khớp với y lệnh có sẵn). Kinh tế: cờ thuốc tin cậy là điều kiện để DS kiểm từ 100% xuống 10% → chi phí 11.668 → 4.918 đ/bản, biên 6,7% → 60,7%.</t>
        </is>
      </c>
    </row>
    <row r="7" ht="23.25" customHeight="1" s="33">
      <c r="A7" s="43" t="n">
        <v>3</v>
      </c>
      <c r="B7" s="40" t="inlineStr">
        <is>
          <t>Đánh dấu hồ sơ mâu thuẫn cho bác sĩ</t>
        </is>
      </c>
      <c r="C7" s="40" t="inlineStr">
        <is>
          <t>Ca khó không bị viết như ca thường</t>
        </is>
      </c>
      <c r="D7" s="40" t="inlineStr">
        <is>
          <t>Ta tin rằng gắn cờ hồ sơ có mâu thuẫn (xét nghiệm trái chẩn đoán, thuốc đổi nhiều lần, ca tầng Khó/Nguy hiểm) cho bác sĩ sẽ giúp ca khó không bị tóm tắt như ca thường.</t>
        </is>
      </c>
      <c r="E7" s="40" t="inlineStr">
        <is>
          <t>Cờ bắt ≥ 90% ca Khó/Nguy hiểm trong bộ đề 45 hồ sơ; cờ thừa ≤ 25% số hồ sơ; 0 tầng tụt.</t>
        </is>
      </c>
      <c r="F7" s="40" t="n">
        <v>3</v>
      </c>
      <c r="G7" s="40" t="n">
        <v>4</v>
      </c>
      <c r="H7" s="40" t="n">
        <v>0.8</v>
      </c>
      <c r="I7" s="40" t="n">
        <v>3</v>
      </c>
      <c r="J7" s="40" t="n">
        <v>0.8</v>
      </c>
      <c r="K7" s="40" t="n">
        <v>0.5</v>
      </c>
      <c r="L7" s="40" t="n">
        <v>0.2</v>
      </c>
      <c r="M7" s="44">
        <f>IF(COUNT(F7:L7)&lt;7,"",ROUND(F7*G7*H7/I7*(0.5+0.5*AVERAGE(J7:K7))*(1-0.5*L7),2))</f>
        <v/>
      </c>
      <c r="N7" s="44">
        <f>IF(M7="","",RANK(M7,$M$5:$M$14))</f>
        <v/>
      </c>
      <c r="O7" s="45">
        <f>IF(B7="","",IF(OR(D7="",E7=""),"Thiếu",IF(SUMPRODUCT(--ISNUMBER(SEARCH({"0","1","2","3","4","5","6","7","8","9"},E7)))&gt;0,"Có","Thiếu")))</f>
        <v/>
      </c>
      <c r="P7" s="46" t="inlineStr">
        <is>
          <t>Tự làm</t>
        </is>
      </c>
      <c r="Q7" s="46" t="inlineStr">
        <is>
          <t>Làm ở tầng Tiếp theo (tháng 4–6): cần cùng BS. Phương định nghĩa "mâu thuẫn" và gắn nhãn vào bộ đề (sẵn sàng đánh giá 0,5). Bổ trợ Mức 2: gắn cờ để DS không phải kiểm hết.</t>
        </is>
      </c>
    </row>
    <row r="8" ht="23.25" customHeight="1" s="33">
      <c r="A8" s="43" t="n">
        <v>4</v>
      </c>
      <c r="B8" s="40" t="inlineStr">
        <is>
          <t>Lời dặn dễ hiểu cho người bệnh</t>
        </is>
      </c>
      <c r="C8" s="40" t="inlineStr">
        <is>
          <t>Người bệnh làm đúng lời dặn</t>
        </is>
      </c>
      <c r="D8" s="40" t="inlineStr">
        <is>
          <t>Ta tin rằng viết lại lời dặn ra viện bằng ngôn ngữ dễ hiểu cho người bệnh sẽ giúp họ uống thuốc và tái khám đúng hẹn.</t>
        </is>
      </c>
      <c r="E8" s="40" t="inlineStr">
        <is>
          <t>≥ 80% người bệnh trả lời đúng 3 câu hỏi (thuốc, liều, ngày tái khám) khi gọi lại sau 7 ngày, trên ≥ 100 người bệnh; tỷ lệ tái khám đúng hẹn tăng ≥ 10 điểm %.</t>
        </is>
      </c>
      <c r="F8" s="40" t="n">
        <v>5</v>
      </c>
      <c r="G8" s="40" t="n">
        <v>3</v>
      </c>
      <c r="H8" s="40" t="n">
        <v>0.5</v>
      </c>
      <c r="I8" s="40" t="n">
        <v>2</v>
      </c>
      <c r="J8" s="40" t="n">
        <v>0.5</v>
      </c>
      <c r="K8" s="40" t="n">
        <v>0.2</v>
      </c>
      <c r="L8" s="40" t="n">
        <v>0.7</v>
      </c>
      <c r="M8" s="44">
        <f>IF(COUNT(F8:L8)&lt;7,"",ROUND(F8*G8*H8/I8*(0.5+0.5*AVERAGE(J8:K8))*(1-0.5*L8),2))</f>
        <v/>
      </c>
      <c r="N8" s="44">
        <f>IF(M8="","",RANK(M8,$M$5:$M$14))</f>
        <v/>
      </c>
      <c r="O8" s="45">
        <f>IF(B8="","",IF(OR(D8="",E8=""),"Thiếu",IF(SUMPRODUCT(--ISNUMBER(SEARCH({"0","1","2","3","4","5","6","7","8","9"},E8)))&gt;0,"Có","Thiếu")))</f>
        <v/>
      </c>
      <c r="P8" s="46" t="inlineStr">
        <is>
          <t>Chờ</t>
        </is>
      </c>
      <c r="Q8" s="46" t="inlineStr">
        <is>
          <t>Chờ, xem lại ở mốc tháng 6: mô hình miễn phí viết lại dễ hiểu đã tốt (rủi ro bị nuốt 0,7); chưa có cách đo người bệnh làm đúng; nội dung đến tay người bệnh nên phải chờ mảng thuốc ổn định 0 lỗi trước. Không tăng doanh thu 15 triệu/khoa; kịch bản xấu hết tiền tháng 9 nên không dàn trải.</t>
        </is>
      </c>
    </row>
    <row r="9" ht="23.25" customHeight="1" s="33">
      <c r="A9" s="43" t="n">
        <v>5</v>
      </c>
      <c r="B9" s="40" t="inlineStr">
        <is>
          <t>Tóm tắt hồ sơ khi chuyển khoa</t>
        </is>
      </c>
      <c r="C9" s="40" t="inlineStr">
        <is>
          <t>Khoa nhận nắm ca nhanh hơn</t>
        </is>
      </c>
      <c r="D9" s="40" t="inlineStr">
        <is>
          <t>Ta tin rằng soạn nháp tóm tắt khi chuyển khoa cho bác sĩ khoa nhận sẽ giúp họ nắm ca nhanh hơn mà không sót thông tin quan trọng.</t>
        </is>
      </c>
      <c r="E9" s="40" t="inlineStr">
        <is>
          <t>Thời gian bác sĩ khoa nhận nắm ca giảm ≥ 30%; 0 lỗi nghiêm trọng trên bộ đề ≥ 40 ca chuyển khoa.</t>
        </is>
      </c>
      <c r="F9" s="40" t="n">
        <v>2</v>
      </c>
      <c r="G9" s="40" t="n">
        <v>3</v>
      </c>
      <c r="H9" s="40" t="n">
        <v>0.5</v>
      </c>
      <c r="I9" s="40" t="n">
        <v>3</v>
      </c>
      <c r="J9" s="40" t="n">
        <v>0.5</v>
      </c>
      <c r="K9" s="40" t="n">
        <v>0</v>
      </c>
      <c r="L9" s="40" t="n">
        <v>0.3</v>
      </c>
      <c r="M9" s="44">
        <f>IF(COUNT(F9:L9)&lt;7,"",ROUND(F9*G9*H9/I9*(0.5+0.5*AVERAGE(J9:K9))*(1-0.5*L9),2))</f>
        <v/>
      </c>
      <c r="N9" s="44">
        <f>IF(M9="","",RANK(M9,$M$5:$M$14))</f>
        <v/>
      </c>
      <c r="O9" s="45">
        <f>IF(B9="","",IF(OR(D9="",E9=""),"Thiếu",IF(SUMPRODUCT(--ISNUMBER(SEARCH({"0","1","2","3","4","5","6","7","8","9"},E9)))&gt;0,"Có","Thiếu")))</f>
        <v/>
      </c>
      <c r="P9" s="46" t="inlineStr">
        <is>
          <t>Chờ</t>
        </is>
      </c>
      <c r="Q9" s="46" t="inlineStr">
        <is>
          <t>Chờ: hồ sơ ghi "chưa có bộ đề cho ca chuyển khoa" (sẵn sàng đánh giá = 0) và chỉ phủ một phần nhỏ người bệnh. Xem lại tháng 6, khi đã dựng bộ đề ≥ 40 ca chuyển khoa (Sau này). Dựng bộ đề tốn ~20 giờ chuyên gia/vòng — chưa đáng trước khi có hợp đồng trả phí.</t>
        </is>
      </c>
    </row>
    <row r="10" ht="23.25" customHeight="1" s="33">
      <c r="A10" s="43" t="n">
        <v>6</v>
      </c>
      <c r="B10" s="40" t="inlineStr">
        <is>
          <t>Mã hoá bệnh cho thanh toán bảo hiểm</t>
        </is>
      </c>
      <c r="C10" s="40" t="inlineStr">
        <is>
          <t>Bớt giờ của phòng kế hoạch</t>
        </is>
      </c>
      <c r="D10" s="40" t="inlineStr">
        <is>
          <t>Ta tin rằng gợi ý mã bệnh cho phòng kế hoạch tổng hợp sẽ giúp họ bớt giờ mã hoá hồ sơ thanh toán bảo hiểm.</t>
        </is>
      </c>
      <c r="E10" s="40" t="inlineStr">
        <is>
          <t>Giảm ≥ 20% giờ mã hoá của phòng kế hoạch; tỷ lệ hồ sơ bị bảo hiểm từ chối không tăng (≤ mức hiện tại).</t>
        </is>
      </c>
      <c r="F10" s="40" t="n">
        <v>4</v>
      </c>
      <c r="G10" s="40" t="n">
        <v>2</v>
      </c>
      <c r="H10" s="40" t="n">
        <v>0.5</v>
      </c>
      <c r="I10" s="40" t="n">
        <v>4</v>
      </c>
      <c r="J10" s="40" t="n">
        <v>0.8</v>
      </c>
      <c r="K10" s="40" t="n">
        <v>0.5</v>
      </c>
      <c r="L10" s="40" t="n">
        <v>1</v>
      </c>
      <c r="M10" s="44">
        <f>IF(COUNT(F10:L10)&lt;7,"",ROUND(F10*G10*H10/I10*(0.5+0.5*AVERAGE(J10:K10))*(1-0.5*L10),2))</f>
        <v/>
      </c>
      <c r="N10" s="44">
        <f>IF(M10="","",RANK(M10,$M$5:$M$14))</f>
        <v/>
      </c>
      <c r="O10" s="45">
        <f>IF(B10="","",IF(OR(D10="",E10=""),"Thiếu",IF(SUMPRODUCT(--ISNUMBER(SEARCH({"0","1","2","3","4","5","6","7","8","9"},E10)))&gt;0,"Có","Thiếu")))</f>
        <v/>
      </c>
      <c r="P10" s="46" t="inlineStr">
        <is>
          <t>Không làm</t>
        </is>
      </c>
      <c r="Q10" s="46" t="inlineStr">
        <is>
          <t>Không làm: bệnh viện ĐÃ có phần mềm chuyên dụng mã hoá bệnh cho thanh toán bảo hiểm (rủi ro bị nuốt = 1); không phải đau chính của bác sĩ khoa nội.</t>
        </is>
      </c>
    </row>
    <row r="11" ht="15" customHeight="1" s="33">
      <c r="A11" s="43" t="n">
        <v>7</v>
      </c>
      <c r="B11" s="40" t="inlineStr">
        <is>
          <t>Đo tỷ lệ bản nháp bị sửa nhiều (so nháp với bản bác sĩ ký) — việc nhóm thêm</t>
        </is>
      </c>
      <c r="C11" s="40" t="inlineStr">
        <is>
          <t>Phát hiện sớm khi bác sĩ sắp bỏ dùng</t>
        </is>
      </c>
      <c r="D11" s="40" t="inlineStr">
        <is>
          <t>Ta tin rằng tự đo mức sửa giữa bản nháp và bản bác sĩ ký, báo hằng tuần cho trưởng khoa và nhóm sản phẩm, sẽ phát hiện sớm khi tỷ lệ sửa nhiều tiến gần ngưỡng 30% (biến nguy hiểm nhất).</t>
        </is>
      </c>
      <c r="E11" s="40" t="inlineStr">
        <is>
          <t>Đo 100% bản nháp, báo cáo hằng tuần; cảnh báo khi tỷ lệ sửa nhiều &gt; 20% trong 2 tuần liên tiếp; định nghĩa "sửa nhiều" (&gt; 30% nội dung bị thay) được BS. Phương duyệt trên 20 bản mẫu.</t>
        </is>
      </c>
      <c r="F11" s="40" t="n">
        <v>5</v>
      </c>
      <c r="G11" s="40" t="n">
        <v>2</v>
      </c>
      <c r="H11" s="40" t="n">
        <v>0.8</v>
      </c>
      <c r="I11" s="40" t="n">
        <v>2</v>
      </c>
      <c r="J11" s="40" t="n">
        <v>1</v>
      </c>
      <c r="K11" s="40" t="n">
        <v>0.8</v>
      </c>
      <c r="L11" s="40" t="n">
        <v>0.2</v>
      </c>
      <c r="M11" s="44">
        <f>IF(COUNT(F11:L11)&lt;7,"",ROUND(F11*G11*H11/I11*(0.5+0.5*AVERAGE(J11:K11))*(1-0.5*L11),2))</f>
        <v/>
      </c>
      <c r="N11" s="44">
        <f>IF(M11="","",RANK(M11,$M$5:$M$14))</f>
        <v/>
      </c>
      <c r="O11" s="45">
        <f>IF(B11="","",IF(OR(D11="",E11=""),"Thiếu",IF(SUMPRODUCT(--ISNUMBER(SEARCH({"0","1","2","3","4","5","6","7","8","9"},E11)))&gt;0,"Có","Thiếu")))</f>
        <v/>
      </c>
      <c r="P11" s="46" t="inlineStr">
        <is>
          <t>Tự làm</t>
        </is>
      </c>
      <c r="Q11" s="46" t="inlineStr">
        <is>
          <t>Thêm vì "tỷ lệ bản nháp bác sĩ phải sửa nhiều" là biến nguy hiểm nhất trong số liệu kinh tế (dòng 7): quá 30% thì bác sĩ bỏ dùng, mất 15 triệu/khoa/tháng; điều kiện dừng hết tháng 3 thử nghiệm cũng dựa trên nó, nên phải đo từ ngày đầu. Rẻ, dữ liệu (nháp + bản ký) có sẵn trong hệ thống.</t>
        </is>
      </c>
    </row>
    <row r="12" ht="15" customHeight="1" s="33">
      <c r="A12" s="43" t="n">
        <v>8</v>
      </c>
      <c r="B12" s="40" t="n"/>
      <c r="C12" s="40" t="n"/>
      <c r="D12" s="40" t="n"/>
      <c r="E12" s="40" t="n"/>
      <c r="F12" s="40" t="n"/>
      <c r="G12" s="40" t="n"/>
      <c r="H12" s="40" t="n"/>
      <c r="I12" s="40" t="n"/>
      <c r="J12" s="40" t="n"/>
      <c r="K12" s="40" t="n"/>
      <c r="L12" s="40" t="n"/>
      <c r="M12" s="44">
        <f>IF(COUNT(F12:L12)&lt;7,"",ROUND(F12*G12*H12/I12*(0.5+0.5*AVERAGE(J12:K12))*(1-0.5*L12),2))</f>
        <v/>
      </c>
      <c r="N12" s="44">
        <f>IF(M12="","",RANK(M12,$M$5:$M$14))</f>
        <v/>
      </c>
      <c r="O12" s="45">
        <f>IF(B12="","",IF(OR(D12="",E12=""),"Thiếu",IF(SUMPRODUCT(--ISNUMBER(SEARCH({"0","1","2","3","4","5","6","7","8","9"},E12)))&gt;0,"Có","Thiếu")))</f>
        <v/>
      </c>
      <c r="P12" s="46" t="n"/>
      <c r="Q12" s="46" t="n"/>
    </row>
    <row r="13" ht="15" customHeight="1" s="33">
      <c r="A13" s="43" t="n">
        <v>9</v>
      </c>
      <c r="B13" s="40" t="n"/>
      <c r="C13" s="40" t="n"/>
      <c r="D13" s="40" t="n"/>
      <c r="E13" s="40" t="n"/>
      <c r="F13" s="40" t="n"/>
      <c r="G13" s="40" t="n"/>
      <c r="H13" s="40" t="n"/>
      <c r="I13" s="40" t="n"/>
      <c r="J13" s="40" t="n"/>
      <c r="K13" s="40" t="n"/>
      <c r="L13" s="40" t="n"/>
      <c r="M13" s="44">
        <f>IF(COUNT(F13:L13)&lt;7,"",ROUND(F13*G13*H13/I13*(0.5+0.5*AVERAGE(J13:K13))*(1-0.5*L13),2))</f>
        <v/>
      </c>
      <c r="N13" s="44">
        <f>IF(M13="","",RANK(M13,$M$5:$M$14))</f>
        <v/>
      </c>
      <c r="O13" s="45">
        <f>IF(B13="","",IF(OR(D13="",E13=""),"Thiếu",IF(SUMPRODUCT(--ISNUMBER(SEARCH({"0","1","2","3","4","5","6","7","8","9"},E13)))&gt;0,"Có","Thiếu")))</f>
        <v/>
      </c>
      <c r="P13" s="46" t="n"/>
      <c r="Q13" s="46" t="n"/>
    </row>
    <row r="14" ht="15" customHeight="1" s="33">
      <c r="A14" s="43" t="n">
        <v>10</v>
      </c>
      <c r="B14" s="40" t="n"/>
      <c r="C14" s="40" t="n"/>
      <c r="D14" s="40" t="n"/>
      <c r="E14" s="40" t="n"/>
      <c r="F14" s="40" t="n"/>
      <c r="G14" s="40" t="n"/>
      <c r="H14" s="40" t="n"/>
      <c r="I14" s="40" t="n"/>
      <c r="J14" s="40" t="n"/>
      <c r="K14" s="40" t="n"/>
      <c r="L14" s="40" t="n"/>
      <c r="M14" s="44">
        <f>IF(COUNT(F14:L14)&lt;7,"",ROUND(F14*G14*H14/I14*(0.5+0.5*AVERAGE(J14:K14))*(1-0.5*L14),2))</f>
        <v/>
      </c>
      <c r="N14" s="44">
        <f>IF(M14="","",RANK(M14,$M$5:$M$14))</f>
        <v/>
      </c>
      <c r="O14" s="45">
        <f>IF(B14="","",IF(OR(D14="",E14=""),"Thiếu",IF(SUMPRODUCT(--ISNUMBER(SEARCH({"0","1","2","3","4","5","6","7","8","9"},E14)))&gt;0,"Có","Thiếu")))</f>
        <v/>
      </c>
      <c r="P14" s="46" t="n"/>
      <c r="Q14" s="46" t="n"/>
    </row>
  </sheetData>
  <sheetProtection selectLockedCells="0" selectUnlockedCells="0" sheet="1" objects="0" insertRows="1" insertHyperlinks="1" autoFilter="1" scenarios="0" formatColumns="0" deleteColumns="1" insertColumns="1" pivotTables="1" deleteRows="1" formatCells="1" formatRows="0" sort="1"/>
  <dataValidations count="4">
    <dataValidation sqref="F5:G14 I5:I14" showDropDown="0" showInputMessage="0" showErrorMessage="1" allowBlank="1" errorTitle="Ngoài thang điểm" error="Nhập số nguyên từ 1 đến 5." type="whole" errorStyle="stop" operator="between">
      <formula1>1</formula1>
      <formula2>5</formula2>
    </dataValidation>
    <dataValidation sqref="H5:H14" showDropDown="0" showInputMessage="0" showErrorMessage="1" allowBlank="1" errorTitle="Mức tự tin" error="Dùng 0,5 (đoán), 0,8 (có dấu hiệu) hoặc 1 (có số liệu)." type="decimal" errorStyle="stop" operator="between">
      <formula1>0.5</formula1>
      <formula2>1</formula2>
    </dataValidation>
    <dataValidation sqref="J5:L14" showDropDown="0" showInputMessage="0" showErrorMessage="1" allowBlank="1" errorTitle="Ngoài thang 0–1" error="Nhập số từ 0 đến 1, ví dụ 0,6." type="decimal" errorStyle="stop" operator="between">
      <formula1>0</formula1>
      <formula2>1</formula2>
    </dataValidation>
    <dataValidation sqref="P5:P14" showDropDown="0" showInputMessage="0" showErrorMessage="0" allowBlank="1" type="list" errorStyle="stop" operator="between">
      <formula1>"Tự làm,Mua,Chờ,Không làm"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M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32" min="1" max="1"/>
    <col width="20" customWidth="1" style="32" min="2" max="2"/>
    <col width="34" customWidth="1" style="32" min="3" max="3"/>
    <col width="30" customWidth="1" style="32" min="4" max="4"/>
    <col width="44" customWidth="1" style="32" min="5" max="5"/>
    <col width="36" customWidth="1" style="32" min="6" max="6"/>
    <col width="12" customWidth="1" style="32" min="7" max="8"/>
    <col width="18" customWidth="1" style="32" min="9" max="9"/>
    <col width="14" customWidth="1" style="32" min="10" max="10"/>
    <col width="12" customWidth="1" style="32" min="11" max="11"/>
    <col width="13" customWidth="1" style="32" min="12" max="12"/>
    <col width="11" customWidth="1" style="32" min="13" max="13"/>
  </cols>
  <sheetData>
    <row r="1" ht="17.25" customHeight="1" s="33">
      <c r="A1" s="34" t="inlineStr">
        <is>
          <t>2 · Lộ trình tăng dần mức tự động và cổng đánh giá</t>
        </is>
      </c>
    </row>
    <row r="2" ht="15" customHeight="1" s="33">
      <c r="A2" s="35" t="inlineStr">
        <is>
          <t>Mỗi lần lên mức phải qua một cổng đánh giá bằng con số. Chưa qua cổng thì chưa lên mức, dù đã đến ngày. Mức tự động quyết định chi phí mỗi việc: xem cột H–L.</t>
        </is>
      </c>
    </row>
    <row r="4" ht="26.25" customHeight="1" s="33">
      <c r="A4" s="42" t="inlineStr">
        <is>
          <t>Mức</t>
        </is>
      </c>
      <c r="B4" s="42" t="inlineStr">
        <is>
          <t>Tên mức</t>
        </is>
      </c>
      <c r="C4" s="42" t="inlineStr">
        <is>
          <t>AI làm gì</t>
        </is>
      </c>
      <c r="D4" s="42" t="inlineStr">
        <is>
          <t>Người làm gì</t>
        </is>
      </c>
      <c r="E4" s="42" t="inlineStr">
        <is>
          <t>Cổng đánh giá để lên mức này (chỉ số + ngưỡng + cỡ mẫu)</t>
        </is>
      </c>
      <c r="F4" s="42" t="inlineStr">
        <is>
          <t>Dữ liệu / hạ tầng / tuân thủ cần có</t>
        </is>
      </c>
      <c r="G4" s="42" t="inlineStr">
        <is>
          <t>Dự kiến (kế hoạch nội bộ, không phải cam kết)</t>
        </is>
      </c>
      <c r="H4" s="42" t="inlineStr">
        <is>
          <t>% việc có người duyệt</t>
        </is>
      </c>
      <c r="I4" s="42" t="inlineStr">
        <is>
          <t>Ai duyệt</t>
        </is>
      </c>
      <c r="J4" s="42" t="inlineStr">
        <is>
          <t>Chi phí mỗi việc (đ)</t>
        </is>
      </c>
      <c r="K4" s="42" t="inlineStr">
        <is>
          <t>Biên lợi nhuận gộp</t>
        </is>
      </c>
      <c r="L4" s="42" t="inlineStr">
        <is>
          <t>Biên ≥ 60%?</t>
        </is>
      </c>
      <c r="M4" s="42" t="inlineStr">
        <is>
          <t>Cổng có con số?</t>
        </is>
      </c>
    </row>
    <row r="5" ht="48" customHeight="1" s="33">
      <c r="A5" s="43" t="n">
        <v>0</v>
      </c>
      <c r="B5" s="40" t="inlineStr">
        <is>
          <t>Gợi ý (chỉ chạy trên bộ đề)</t>
        </is>
      </c>
      <c r="C5" s="40" t="inlineStr">
        <is>
          <t>Soạn nháp trên bộ đề 45 hồ sơ ẩn danh; chưa có bản nháp nào đến bác sĩ trong thực tế.</t>
        </is>
      </c>
      <c r="D5" s="40" t="inlineStr">
        <is>
          <t>Kỹ sư sửa lỗi insulin; DS. Hải chấm phần thuốc, BS. Phương chấm phần lâm sàng toàn bộ bộ đề.</t>
        </is>
      </c>
      <c r="E5" s="40" t="inlineStr">
        <is>
          <t>Hiện tại (chưa phát hành): bộ đề 40 hồ sơ có 1 lỗi nghiêm trọng → thêm 5 ca insulin, sửa, chạy lại cả bộ đề.</t>
        </is>
      </c>
      <c r="F5" s="40" t="inlineStr">
        <is>
          <t>Bộ đề 40 hồ sơ + 5 ca insulin mới; ~20–23 giờ chuyên gia cho 1 vòng chấm; chạy trong hệ thống bệnh viện, ẩn danh.</t>
        </is>
      </c>
      <c r="G5" s="40" t="inlineStr">
        <is>
          <t>Tháng 1 (tuần 1–4)</t>
        </is>
      </c>
      <c r="H5" s="47" t="n">
        <v>1</v>
      </c>
      <c r="I5" s="46" t="inlineStr">
        <is>
          <t>Người của mình</t>
        </is>
      </c>
      <c r="J5" s="48">
        <f>IF(H5="","",$B$12+$B$13+IF(I5="Người của mình",H5*$B$14*$B$15/60,0))</f>
        <v/>
      </c>
      <c r="K5" s="49">
        <f>IF(J5="","",IFERROR(($B$16-$B$17*J5)/$B$16,""))</f>
        <v/>
      </c>
      <c r="L5" s="50">
        <f>IF(K5="","",IF(K5&gt;=0.6,"Đạt","Dưới ngưỡng"))</f>
        <v/>
      </c>
    </row>
    <row r="6" ht="48" customHeight="1" s="33">
      <c r="A6" s="43" t="n">
        <v>1</v>
      </c>
      <c r="B6" s="40" t="inlineStr">
        <is>
          <t>Hỗ trợ có duyệt</t>
        </is>
      </c>
      <c r="C6" s="40" t="inlineStr">
        <is>
          <t>Soạn nháp đủ 6 phần tóm tắt ra viện; đối chiếu thuốc ra viện với y lệnh cuối và gắn cờ chênh lệch; không bao giờ tự gửi cho người bệnh.</t>
        </is>
      </c>
      <c r="D6" s="40" t="inlineStr">
        <is>
          <t>Bác sĩ bệnh viện đọc, sửa, ký 100% bản nháp (không tính chi phí của mình). DS của công ty kiểm phần thuốc 100% bản nháp trước khi bác sĩ ký.</t>
        </is>
      </c>
      <c r="E6" s="40" t="inlineStr">
        <is>
          <t>Tỷ lệ lỗi nghiêm trọng = 0 trên bộ đề 45 hồ sơ (40 + 5 ca insulin), tỷ lệ đạt quy về thực tế ≥ 95%, 0 tầng tụt, kappa ≥ 0,8; DS. Hải chấm phần thuốc, BS. Phương xác nhận.</t>
        </is>
      </c>
      <c r="F6" s="40" t="inlineStr">
        <is>
          <t>Đọc hồ sơ và y lệnh cuối dạng điện tử (chỉ đọc); chạy trong hạ tầng bệnh viện, ẩn danh, nhật ký mọi bản nháp và bản ký; ghi rõ "bản nháp do AI soạn" (Luật AI 134/2025/QH15); bảo vệ dữ liệu sức khoẻ người bệnh.</t>
        </is>
      </c>
      <c r="G6" s="40" t="inlineStr">
        <is>
          <t>Tháng 2–4: thử nghiệm 3 tháng tại 1 khoa nội</t>
        </is>
      </c>
      <c r="H6" s="47" t="n">
        <v>1</v>
      </c>
      <c r="I6" s="46" t="inlineStr">
        <is>
          <t>Người của mình</t>
        </is>
      </c>
      <c r="J6" s="48">
        <f>IF(H6="","",$B$12+$B$13+IF(I6="Người của mình",H6*$B$14*$B$15/60,0))</f>
        <v/>
      </c>
      <c r="K6" s="49">
        <f>IF(J6="","",IFERROR(($B$16-$B$17*J6)/$B$16,""))</f>
        <v/>
      </c>
      <c r="L6" s="50">
        <f>IF(K6="","",IF(K6&gt;=0.6,"Đạt","Dưới ngưỡng"))</f>
        <v/>
      </c>
      <c r="M6" s="50">
        <f>IF(E6="","",IF(SUMPRODUCT(--ISNUMBER(SEARCH({"0","1","2","3","4","5","6","7","8","9"},E6)))&gt;0,"Có","Thiếu"))</f>
        <v/>
      </c>
    </row>
    <row r="7" ht="48" customHeight="1" s="33">
      <c r="A7" s="43" t="n">
        <v>2</v>
      </c>
      <c r="B7" s="40" t="inlineStr">
        <is>
          <t>Tự động một phần</t>
        </is>
      </c>
      <c r="C7" s="40" t="inlineStr">
        <is>
          <t>Như Mức 1, cộng gắn cờ bắt buộc cho thuốc nguy cơ cao (insulin, kháng đông…) và mọi chênh lệch với y lệnh cuối.</t>
        </is>
      </c>
      <c r="D7" s="40" t="inlineStr">
        <is>
          <t>Bác sĩ vẫn đọc, sửa, ký 100%. DS chỉ kiểm bản có cờ thuốc + mẫu ngẫu nhiên ≈ 10% số bản nháp.</t>
        </is>
      </c>
      <c r="E7" s="40" t="inlineStr">
        <is>
          <t>0 lỗi thuốc nghiêm trọng trên ≥ 1.500 bản nháp thật liên tiếp được DS kiểm 100% (quy tắc 3: tỷ lệ lỗi &lt; 0,2% với độ tin 95%); cờ bắt 100% chênh lệch DS tìm thấy; tỷ lệ sửa nhiều ≤ 20%; DS. Hải + BS. Phương ký xác nhận.</t>
        </is>
      </c>
      <c r="F7" s="40" t="inlineStr">
        <is>
          <t>Bảng thuốc nguy cơ cao để gắn cờ; bảng theo dõi tỷ lệ sửa nhiều hằng tuần; hợp đồng và thoả thuận xử lý dữ liệu với bệnh viện.</t>
        </is>
      </c>
      <c r="G7" s="40" t="inlineStr">
        <is>
          <t>Sớm nhất tháng 5–6, chỉ khi qua cổng (sau khi hết 3 tháng thử nghiệm)</t>
        </is>
      </c>
      <c r="H7" s="47" t="n">
        <v>0.1</v>
      </c>
      <c r="I7" s="46" t="inlineStr">
        <is>
          <t>Người của mình</t>
        </is>
      </c>
      <c r="J7" s="48">
        <f>IF(H7="","",$B$12+$B$13+IF(I7="Người của mình",H7*$B$14*$B$15/60,0))</f>
        <v/>
      </c>
      <c r="K7" s="49">
        <f>IF(J7="","",IFERROR(($B$16-$B$17*J7)/$B$16,""))</f>
        <v/>
      </c>
      <c r="L7" s="50">
        <f>IF(K7="","",IF(K7&gt;=0.6,"Đạt","Dưới ngưỡng"))</f>
        <v/>
      </c>
      <c r="M7" s="50">
        <f>IF(E7="","",IF(SUMPRODUCT(--ISNUMBER(SEARCH({"0","1","2","3","4","5","6","7","8","9"},E7)))&gt;0,"Có","Thiếu"))</f>
        <v/>
      </c>
    </row>
    <row r="8" ht="48" customHeight="1" s="33">
      <c r="A8" s="43" t="n">
        <v>3</v>
      </c>
      <c r="B8" s="40" t="inlineStr">
        <is>
          <t>Tự động có giám sát</t>
        </is>
      </c>
      <c r="C8" s="40" t="inlineStr">
        <is>
          <t>Không làm.</t>
        </is>
      </c>
      <c r="D8" s="40" t="inlineStr">
        <is>
          <t>Bác sĩ luôn đọc và ký; máy không bao giờ tự gửi bản tóm tắt cho người bệnh.</t>
        </is>
      </c>
      <c r="E8" s="40" t="inlineStr">
        <is>
          <t>Không làm trong lộ trình 12 tháng: không có cổng nào cho phép bỏ chữ ký bác sĩ.</t>
        </is>
      </c>
      <c r="F8" s="40" t="inlineStr">
        <is>
          <t>Không áp dụng.</t>
        </is>
      </c>
      <c r="G8" s="40" t="inlineStr">
        <is>
          <t>Không làm</t>
        </is>
      </c>
      <c r="H8" s="47" t="n"/>
      <c r="I8" s="46" t="n"/>
      <c r="J8" s="48">
        <f>IF(H8="","",$B$12+$B$13+IF(I8="Người của mình",H8*$B$14*$B$15/60,0))</f>
        <v/>
      </c>
      <c r="K8" s="49">
        <f>IF(J8="","",IFERROR(($B$16-$B$17*J8)/$B$16,""))</f>
        <v/>
      </c>
      <c r="L8" s="50">
        <f>IF(K8="","",IF(K8&gt;=0.6,"Đạt","Dưới ngưỡng"))</f>
        <v/>
      </c>
      <c r="M8" s="50">
        <f>IF(E8="","",IF(SUMPRODUCT(--ISNUMBER(SEARCH({"0","1","2","3","4","5","6","7","8","9"},E8)))&gt;0,"Có","Thiếu"))</f>
        <v/>
      </c>
    </row>
    <row r="11" ht="15" customHeight="1" s="33">
      <c r="A11" s="41" t="inlineStr">
        <is>
          <t>SỐ LIỆU KINH TẾ CỦA ĐỀ (đã điền sẵn từ hồ sơ tình huống; sửa được nếu nhóm có lý do)</t>
        </is>
      </c>
    </row>
    <row r="12" ht="15" customHeight="1" s="33">
      <c r="A12" s="51" t="inlineStr">
        <is>
          <t>Chi phí gọi AI / việc (đã tính gọi lại)</t>
        </is>
      </c>
      <c r="B12" s="52" t="n">
        <v>2968</v>
      </c>
      <c r="C12" s="53" t="inlineStr">
        <is>
          <t>Hồ sơ, bảng Số liệu kinh tế, dòng 1</t>
        </is>
      </c>
    </row>
    <row r="13" ht="15" customHeight="1" s="33">
      <c r="A13" s="51" t="inlineStr">
        <is>
          <t>Hạ tầng + đánh giá + khác / việc</t>
        </is>
      </c>
      <c r="B13" s="52" t="n">
        <v>1200</v>
      </c>
      <c r="C13" s="53" t="inlineStr">
        <is>
          <t>dòng 2</t>
        </is>
      </c>
    </row>
    <row r="14" ht="15" customHeight="1" s="33">
      <c r="A14" s="51" t="inlineStr">
        <is>
          <t>Số phút người duyệt / việc</t>
        </is>
      </c>
      <c r="B14" s="54" t="n">
        <v>3</v>
      </c>
      <c r="C14" s="53" t="inlineStr">
        <is>
          <t>dòng 3</t>
        </is>
      </c>
    </row>
    <row r="15" ht="15" customHeight="1" s="33">
      <c r="A15" s="51" t="inlineStr">
        <is>
          <t>Chi phí 1 giờ người duyệt (đ)</t>
        </is>
      </c>
      <c r="B15" s="52" t="n">
        <v>150000</v>
      </c>
      <c r="C15" s="53" t="inlineStr">
        <is>
          <t>dòng 4</t>
        </is>
      </c>
    </row>
    <row r="16" ht="15" customHeight="1" s="33">
      <c r="A16" s="51" t="inlineStr">
        <is>
          <t>Doanh thu bình quân / khách / tháng (đ)</t>
        </is>
      </c>
      <c r="B16" s="52" t="n">
        <v>15000000</v>
      </c>
      <c r="C16" s="53" t="inlineStr">
        <is>
          <t>dòng 5</t>
        </is>
      </c>
    </row>
    <row r="17" ht="15" customHeight="1" s="33">
      <c r="A17" s="51" t="inlineStr">
        <is>
          <t>Số việc bình quân / khách / tháng</t>
        </is>
      </c>
      <c r="B17" s="52" t="n">
        <v>1200</v>
      </c>
      <c r="C17" s="53" t="inlineStr">
        <is>
          <t>dòng 6</t>
        </is>
      </c>
    </row>
    <row r="18" ht="15" customHeight="1" s="33">
      <c r="A18" s="51" t="inlineStr">
        <is>
          <t>Biến nguy hiểm nhất</t>
        </is>
      </c>
      <c r="B18" s="46" t="inlineStr">
        <is>
          <t>Tỷ lệ bản nháp bác sĩ phải sửa nhiều: quá 30% thì bác sĩ bỏ dùng</t>
        </is>
      </c>
      <c r="C18" s="53" t="inlineStr">
        <is>
          <t>dòng 7</t>
        </is>
      </c>
    </row>
    <row r="19" ht="15" customHeight="1" s="33">
      <c r="A19" s="51" t="inlineStr">
        <is>
          <t>Điều kiện dừng đã chọn (theo đề)</t>
        </is>
      </c>
      <c r="B19" s="46" t="inlineStr">
        <is>
          <t>Hết tháng 3 thử nghiệm: bác sĩ phải sửa nhiều trên 30% bản nháp, hoặc có 1 lỗi thuốc lọt đến người bệnh, THÌ dừng, không mở sang khoa khác</t>
        </is>
      </c>
      <c r="C19" s="53" t="inlineStr">
        <is>
          <t>dòng 8</t>
        </is>
      </c>
    </row>
    <row r="20" ht="15" customHeight="1" s="33">
      <c r="A20" s="51" t="inlineStr">
        <is>
          <t>Kịch bản xấu hết tiền ở tháng</t>
        </is>
      </c>
      <c r="B20" s="55" t="n">
        <v>9</v>
      </c>
      <c r="C20" s="53" t="inlineStr">
        <is>
          <t>dòng 9</t>
        </is>
      </c>
    </row>
    <row r="22" ht="15" customHeight="1" s="33">
      <c r="A22" s="53" t="inlineStr">
        <is>
          <t>Ghi chú: bác sĩ của bệnh viện luôn đọc và ký, không tính vào chi phí của mình. Người duyệt của mình là dược sĩ kiểm tra phần thuốc. Mức 3 có thể ghi "Không làm".</t>
        </is>
      </c>
    </row>
    <row r="23" ht="15" customHeight="1" s="33">
      <c r="A23" s="53" t="n"/>
    </row>
  </sheetData>
  <sheetProtection selectLockedCells="0" selectUnlockedCells="0" sheet="1" objects="0" insertRows="1" insertHyperlinks="1" autoFilter="1" scenarios="0" formatColumns="0" deleteColumns="1" insertColumns="1" pivotTables="1" deleteRows="1" formatCells="1" formatRows="0" sort="1"/>
  <dataValidations count="2">
    <dataValidation sqref="I5:I8" showDropDown="0" showInputMessage="0" showErrorMessage="0" allowBlank="1" type="list" errorStyle="stop" operator="between">
      <formula1>"Người của mình,Nhân viên cửa hàng"</formula1>
      <formula2>0</formula2>
    </dataValidation>
    <dataValidation sqref="H5:H8" showDropDown="0" showInputMessage="0" showErrorMessage="0" allowBlank="1" type="decimal" errorStyle="stop" operator="between">
      <formula1>0</formula1>
      <formula2>1</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2" min="1" max="1"/>
    <col width="42" customWidth="1" style="32" min="2" max="4"/>
  </cols>
  <sheetData>
    <row r="1" ht="17.25" customHeight="1" s="33">
      <c r="A1" s="34" t="inlineStr">
        <is>
          <t>3 · Bảng lộ trình theo giả thuyết: Bây giờ / Tiếp theo / Sau này</t>
        </is>
      </c>
    </row>
    <row r="2" ht="15" customHeight="1" s="33">
      <c r="A2" s="35" t="inlineStr">
        <is>
          <t>Bây giờ = cam kết (0–3 tháng) · Tiếp theo = định hướng (3–6 tháng) · Sau này = khám phá (6–12 tháng). Càng xa càng ít chi tiết.</t>
        </is>
      </c>
    </row>
    <row r="4" ht="15" customHeight="1" s="33">
      <c r="A4" s="42" t="inlineStr">
        <is>
          <t>Dòng</t>
        </is>
      </c>
      <c r="B4" s="42" t="inlineStr">
        <is>
          <t>Bây giờ (0–3 tháng)</t>
        </is>
      </c>
      <c r="C4" s="42" t="inlineStr">
        <is>
          <t>Tiếp theo (3–6 tháng)</t>
        </is>
      </c>
      <c r="D4" s="42" t="inlineStr">
        <is>
          <t>Sau này (6–12 tháng)</t>
        </is>
      </c>
    </row>
    <row r="5" ht="48" customHeight="1" s="33">
      <c r="A5" s="56" t="inlineStr">
        <is>
          <t>Việc chính (lấy từ trang 1)</t>
        </is>
      </c>
      <c r="B5" s="40" t="inlineStr">
        <is>
          <t>Việc 2 – Đối chiếu thuốc ra viện với y lệnh cuối (sửa lỗi insulin), rồi thử nghiệm Việc 1 – soạn nháp tóm tắt ra viện tại 1 khoa nội; kèm Việc 7 – đo tỷ lệ bản phải sửa nhiều.</t>
        </is>
      </c>
      <c r="C5" s="40" t="inlineStr">
        <is>
          <t>Chốt thử nghiệm (hết tháng 3 thử nghiệm); lên Mức 2 cho việc 1 + 2; bắt đầu Việc 3 – đánh dấu hồ sơ mâu thuẫn; ký hợp đồng trả phí với bệnh viện.</t>
        </is>
      </c>
      <c r="D5" s="40" t="inlineStr">
        <is>
          <t>Mở sang khoa nội thứ 2 / bệnh viện thứ 2 nếu giữ đủ cổng; xem lại Việc 5 (tóm tắt chuyển khoa) và Việc 4 (lời dặn dễ hiểu) ở mốc tháng 6.</t>
        </is>
      </c>
    </row>
    <row r="6" ht="48" customHeight="1" s="33">
      <c r="A6" s="56" t="inlineStr">
        <is>
          <t>Giả thuyết</t>
        </is>
      </c>
      <c r="B6" s="40" t="inlineStr">
        <is>
          <t>Ta tin rằng khi bản nháp được đối chiếu thuốc với y lệnh cuối, bác sĩ khoa nội sẽ hoàn tất tóm tắt ra viện trong ≤ 6 phút/bản (từ 15–20 phút) mà không có lỗi thuốc nào lọt đến người bệnh.</t>
        </is>
      </c>
      <c r="C6" s="40" t="inlineStr">
        <is>
          <t>Ta tin rằng khi cờ đối chiếu thuốc bắt đủ chênh lệch, DS chỉ cần kiểm 10% bản nháp mà vẫn 0 lỗi thuốc lọt, đưa biên lợi nhuận gộp lên ≥ 60%.</t>
        </is>
      </c>
      <c r="D6" s="40" t="inlineStr">
        <is>
          <t>Ta tin rằng cùng quy trình (bộ đề + cổng + DS kiểm 10%) nhân được sang khoa khác mà vẫn 0 lỗi thuốc và biên ≥ 60%.</t>
        </is>
      </c>
    </row>
    <row r="7" ht="48" customHeight="1" s="33">
      <c r="A7" s="56" t="inlineStr">
        <is>
          <t>Chỉ số thành công và ngưỡng</t>
        </is>
      </c>
      <c r="B7" s="40" t="inlineStr">
        <is>
          <t>Cổng vào thử nghiệm: 0 lỗi nghiêm trọng trên bộ đề 45 hồ sơ, tỷ lệ đạt ≥ 95%. Trong thử nghiệm: 0 lỗi thuốc lọt đến người bệnh; tỷ lệ sửa nhiều ≤ 30% (mục tiêu ≤ 20%); ≤ 6 phút/bản đo trên ≥ 300 bản.</t>
        </is>
      </c>
      <c r="C7" s="40" t="inlineStr">
        <is>
          <t>Biên gộp ≥ 60% (chi phí ≤ 5.000 đ/bản); 0 lỗi thuốc lọt; tỷ lệ sửa nhiều ≤ 20%; cờ mâu thuẫn bắt ≥ 90% ca Khó/Nguy hiểm.</t>
        </is>
      </c>
      <c r="D7" s="40" t="inlineStr">
        <is>
          <t>Khoa mới: 0 lỗi nghiêm trọng trên bộ đề riêng ≥ 40 hồ sơ; tỷ lệ sửa nhiều ≤ 20%; ≥ 2 khoa trả phí.</t>
        </is>
      </c>
    </row>
    <row r="8" ht="48" customHeight="1" s="33">
      <c r="A8" s="56" t="inlineStr">
        <is>
          <t>Mức tự động (trang 2)</t>
        </is>
      </c>
      <c r="B8" s="40" t="inlineStr">
        <is>
          <t>Mức 0 (tháng 1, chỉ chạy trên bộ đề) → Mức 1 Hỗ trợ có duyệt (tháng 2–4): bác sĩ đọc-sửa-ký 100%, DS kiểm thuốc 100%.</t>
        </is>
      </c>
      <c r="C8" s="40" t="inlineStr">
        <is>
          <t>Mức 2 Tự động một phần: DS kiểm bản có cờ + mẫu ngẫu nhiên ≈ 10%; bác sĩ vẫn ký 100%.</t>
        </is>
      </c>
      <c r="D8" s="40" t="inlineStr">
        <is>
          <t>Giữ Mức 2; Mức 3 (máy tự gửi) = Không làm, bác sĩ luôn ký.</t>
        </is>
      </c>
    </row>
    <row r="9" ht="48" customHeight="1" s="33">
      <c r="A9" s="56" t="inlineStr">
        <is>
          <t>Cổng đánh giá</t>
        </is>
      </c>
      <c r="B9" s="40" t="inlineStr">
        <is>
          <t>0 lỗi nghiêm trọng trên 45 hồ sơ (40 + 5 ca insulin), tỷ lệ đạt quy về thực tế ≥ 95%, 0 tầng tụt, kappa ≥ 0,8; DS. Hải chấm phần thuốc, BS. Phương xác nhận.</t>
        </is>
      </c>
      <c r="C9" s="40" t="inlineStr">
        <is>
          <t>0 lỗi thuốc nghiêm trọng trên ≥ 1.500 bản nháp thật liên tiếp DS kiểm 100% (quy tắc 3: lỗi &lt; 0,2%, độ tin 95%); cờ bắt 100% chênh lệch DS tìm thấy; sửa nhiều ≤ 20%.</t>
        </is>
      </c>
      <c r="D9" s="40" t="inlineStr">
        <is>
          <t>Mỗi khoa mới / ca chuyển khoa: bộ đề ≥ 40 hồ sơ, tỷ lệ đạt ≥ 95%, 0 lỗi nghiêm trọng, kappa ≥ 0,8.</t>
        </is>
      </c>
    </row>
    <row r="10" ht="48" customHeight="1" s="33">
      <c r="A10" s="56" t="inlineStr">
        <is>
          <t>Điều kiện cần: dữ liệu / hạ tầng / tuân thủ</t>
        </is>
      </c>
      <c r="B10" s="40" t="inlineStr">
        <is>
          <t>Dữ liệu: 5 ca insulin mới, hồ sơ + y lệnh cuối dạng điện tử. Hạ tầng: chạy trong hệ thống bệnh viện, ẩn danh, nhật ký mọi bản nháp/bản ký. Tuân thủ: bác sĩ ký 100%, máy không tự gửi người bệnh, ghi rõ "nháp do AI soạn" (Luật AI 134/2025/QH15), bảo vệ dữ liệu sức khoẻ. Chuyên gia: ~20–23 giờ chấm lại bộ đề (DS. Hải, BS. Phương); DS kiểm thuốc 60 giờ/tháng khi thử nghiệm.</t>
        </is>
      </c>
      <c r="C10" s="40" t="inlineStr">
        <is>
          <t>Bảng thuốc nguy cơ cao để gắn cờ bắt buộc; bảng theo dõi tỷ lệ sửa nhiều hằng tuần; nhãn "mâu thuẫn" trong bộ đề; hợp đồng + thoả thuận xử lý dữ liệu với bệnh viện.</t>
        </is>
      </c>
      <c r="D10" s="40" t="inlineStr">
        <is>
          <t>Bộ đề ca chuyển khoa (hiện chưa có); chuyên gia của từng khoa mới; rà lại hướng dẫn Luật AI và quy định dữ liệu sức khoẻ.</t>
        </is>
      </c>
    </row>
    <row r="11" ht="48" customHeight="1" s="33">
      <c r="A11" s="56" t="inlineStr">
        <is>
          <t>Căn cứ kinh tế (số liệu của đề và trang 2)</t>
        </is>
      </c>
      <c r="B11" s="40" t="inlineStr">
        <is>
          <t>Giá 15 triệu/khoa/tháng ÷ 1.200 bản = 12.500 đ/bản. Mức 1 (DS kiểm 100%): 2.968 + 1.200 + 7.500 = 11.668 đ/bản → biên 6,7%, chấp nhận trong thử nghiệm. Mức 2 (DS kiểm 10%): 4.918 đ/bản → biên 60,7%. Kịch bản xấu: bệnh viện ký chậm 6 tháng → hết tiền tháng 9.</t>
        </is>
      </c>
      <c r="C11" s="40" t="inlineStr">
        <is>
          <t>Mức 2: 4.918 đ/bản, biên 60,7% trên 15 triệu/khoa/tháng. Hết tiền tháng 9 nếu ký chậm → cần hợp đồng trả phí trước tháng 6.</t>
        </is>
      </c>
      <c r="D11" s="40" t="inlineStr">
        <is>
          <t>Mỗi khoa thêm 15 triệu/tháng, biên ≈ 60,7%; phải bù chi phí dựng bộ đề (~20 giờ chuyên gia/khoa).</t>
        </is>
      </c>
    </row>
    <row r="12" ht="48" customHeight="1" s="33">
      <c r="A12" s="56" t="inlineStr">
        <is>
          <t>Điều kiện dừng / đổi hướng</t>
        </is>
      </c>
      <c r="B12" s="40" t="inlineStr">
        <is>
          <t>Nếu hết tháng 3 thử nghiệm bác sĩ phải sửa nhiều &gt; 30% bản nháp (đo trên ≥ 1.000 bản), hoặc có 1 lỗi thuốc lọt đến người bệnh bất kỳ lúc nào, nhóm sẽ dừng, không mở sang khoa khác. Nếu ngày 45 vẫn chưa đạt 0 lỗi nghiêm trọng trên bộ đề, nhóm đổi hướng: chỉ soạn phần diễn biến, bỏ phần thuốc.</t>
        </is>
      </c>
      <c r="C12" s="40" t="inlineStr">
        <is>
          <t>Nếu sau khi xuống DS kiểm 10% có 1 lỗi thuốc nghiêm trọng trong mẫu → quay lại Mức 1 (DS kiểm 100%) và chạy lại cổng. Nếu tháng 6 chưa có hợp đồng trả phí → dừng mở rộng, giữ 1 khoa.</t>
        </is>
      </c>
      <c r="D12" s="40" t="inlineStr">
        <is>
          <t>Nếu khoa mới có sửa nhiều &gt; 30% sau 3 tháng hoặc 1 lỗi thuốc lọt → dừng khoa đó.</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D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4" customWidth="1" style="32" min="1" max="1"/>
    <col width="40" customWidth="1" style="32" min="2" max="3"/>
    <col width="28" customWidth="1" style="32" min="4" max="4"/>
  </cols>
  <sheetData>
    <row r="1" ht="17.25" customHeight="1" s="33">
      <c r="A1" s="34" t="inlineStr">
        <is>
          <t>4 · Lịch rà soát lộ trình</t>
        </is>
      </c>
    </row>
    <row r="2" ht="15" customHeight="1" s="33">
      <c r="A2" s="35" t="inlineStr">
        <is>
          <t>Rà soát theo lịch VÀ mỗi khi có sự kiện. Ở mốc 30/60/90 chọn 1 trong 4: đi tiếp, sửa, đổi hướng, dừng.</t>
        </is>
      </c>
    </row>
    <row r="4" ht="15" customHeight="1" s="33">
      <c r="A4" s="42" t="inlineStr">
        <is>
          <t>Mốc / sự kiện</t>
        </is>
      </c>
      <c r="B4" s="42" t="inlineStr">
        <is>
          <t>Nhìn vào chỉ số nào</t>
        </is>
      </c>
      <c r="C4" s="42" t="inlineStr">
        <is>
          <t>Quyết định có thể đưa ra</t>
        </is>
      </c>
      <c r="D4" s="42" t="inlineStr">
        <is>
          <t>Ai quyết</t>
        </is>
      </c>
    </row>
    <row r="5" ht="15" customHeight="1" s="33">
      <c r="A5" s="40" t="inlineStr">
        <is>
          <t>Ngày 30</t>
        </is>
      </c>
      <c r="B5" s="40" t="inlineStr">
        <is>
          <t>Kết quả chạy lại bộ đề 45 hồ sơ: số lỗi nghiêm trọng (phải = 0), tỷ lệ đạt quy về thực tế (≥ 95%), số tầng tụt (= 0), kappa (≥ 0,8).</t>
        </is>
      </c>
      <c r="C5" s="40" t="inlineStr">
        <is>
          <t>Đi tiếp vào thử nghiệm Mức 1 nếu đủ cổng; Sửa và chạy lại nếu còn lỗi (hạn chót ngày 45, quá hạn thì đổi hướng).</t>
        </is>
      </c>
      <c r="D5" s="40" t="inlineStr">
        <is>
          <t>BS. Phương + DS. Hải xác nhận kết quả; trưởng sản phẩm quyết.</t>
        </is>
      </c>
    </row>
    <row r="6" ht="15" customHeight="1" s="33">
      <c r="A6" s="40" t="inlineStr">
        <is>
          <t>Ngày 60</t>
        </is>
      </c>
      <c r="B6" s="40" t="inlineStr">
        <is>
          <t>Tháng 1 thử nghiệm: số lỗi thuốc DS bắt được và số lỗi lọt đến người bệnh (phải = 0); tỷ lệ bản sửa nhiều; phút/bản của bác sĩ.</t>
        </is>
      </c>
      <c r="C6" s="40" t="inlineStr">
        <is>
          <t>Đi tiếp; Sửa nếu sửa nhiều &gt; 20%; Dừng ngay nếu có 1 lỗi thuốc lọt đến người bệnh.</t>
        </is>
      </c>
      <c r="D6" s="40" t="inlineStr">
        <is>
          <t>BS. Phương (trưởng khoa) + trưởng sản phẩm.</t>
        </is>
      </c>
    </row>
    <row r="7" ht="15" customHeight="1" s="33">
      <c r="A7" s="40" t="inlineStr">
        <is>
          <t>Ngày 90</t>
        </is>
      </c>
      <c r="B7" s="40" t="inlineStr">
        <is>
          <t>Tháng 2 thử nghiệm: xu hướng tỷ lệ sửa nhiều (≤ 30%), số bản DS kiểm liên tiếp 0 lỗi (mục tiêu 1.500), chi phí thực tế/bản. Chưa dùng giá trị vòng đời (chưa đủ dữ liệu).</t>
        </is>
      </c>
      <c r="C7" s="40" t="inlineStr">
        <is>
          <t>Đi tiếp (chuẩn bị cổng Mức 2 cuối tháng 3 thử nghiệm); Sửa; Đổi hướng (thu hẹp còn phần diễn biến); Dừng.</t>
        </is>
      </c>
      <c r="D7" s="40" t="inlineStr">
        <is>
          <t>Ban lãnh đạo + BS. Phương; DS. Hải cho ý kiến phần thuốc.</t>
        </is>
      </c>
    </row>
    <row r="8" ht="15" customHeight="1" s="33">
      <c r="A8" s="40" t="inlineStr">
        <is>
          <t>Có mô hình mới / giá gọi AI giảm mạnh</t>
        </is>
      </c>
      <c r="B8" s="40" t="inlineStr">
        <is>
          <t>Chạy lại toàn bộ bộ đề 45 hồ sơ với mô hình mới: lỗi nghiêm trọng, tỷ lệ đạt, chi phí gọi AI/bản.</t>
        </is>
      </c>
      <c r="C8" s="40" t="inlineStr">
        <is>
          <t>Chỉ đổi mô hình khi qua lại đủ cổng (0 lỗi nghiêm trọng); giá giảm → giữ biên hoặc giảm giá bán để ký hợp đồng nhanh hơn.</t>
        </is>
      </c>
      <c r="D8" s="40" t="inlineStr">
        <is>
          <t>Trưởng kỹ thuật; DS. Hải + BS. Phương xác nhận kết quả bộ đề.</t>
        </is>
      </c>
    </row>
    <row r="9" ht="15" customHeight="1" s="33">
      <c r="A9" s="40" t="inlineStr">
        <is>
          <t>Nền tảng hoặc đối thủ ra tính năng tương tự</t>
        </is>
      </c>
      <c r="B9" s="40" t="inlineStr">
        <is>
          <t>Phần mềm bệnh án của bệnh viện có ra tính năng tóm tắt ra viện không; tỷ lệ bác sĩ còn dùng RaViện mỗi tuần.</t>
        </is>
      </c>
      <c r="C9" s="40" t="inlineStr">
        <is>
          <t>Sửa: tập trung vào khác biệt (đối chiếu thuốc + bộ đề có kiểm chứng); Đổi hướng: tích hợp làm lớp kiểm tra thuốc cho phần mềm sẵn có; Dừng.</t>
        </is>
      </c>
      <c r="D9" s="40" t="inlineStr">
        <is>
          <t>Ban lãnh đạo.</t>
        </is>
      </c>
    </row>
    <row r="10" ht="15" customHeight="1" s="33">
      <c r="A10" s="40" t="inlineStr">
        <is>
          <t>Quy định pháp lý thay đổi</t>
        </is>
      </c>
      <c r="B10" s="40" t="inlineStr">
        <is>
          <t>Văn bản hướng dẫn Luật AI 134/2025/QH15 (mức rủi ro của AI trong y tế), quy định dữ liệu sức khoẻ, quy định của Bộ Y tế về bệnh án điện tử.</t>
        </is>
      </c>
      <c r="C10" s="40" t="inlineStr">
        <is>
          <t>Tạm dừng thử nghiệm nếu chưa đáp ứng; sửa quy trình (thông báo AI, nhật ký, đánh giá rủi ro) rồi đi tiếp.</t>
        </is>
      </c>
      <c r="D10" s="40" t="inlineStr">
        <is>
          <t>Pháp chế + ban lãnh đạo + đại diện bệnh viện.</t>
        </is>
      </c>
    </row>
    <row r="12" ht="15" customHeight="1" s="33">
      <c r="A12" s="53" t="inlineStr">
        <is>
          <t>Ngày 90 chưa đo được giá trị vòng đời thật: khách mới dùng 3 tháng. Chỉ dùng chỉ số đã có đủ dữ liệu.</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D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90" customWidth="1" style="32" min="2" max="2"/>
    <col width="8" customWidth="1" style="32" min="3" max="3"/>
    <col width="12" customWidth="1" style="32" min="4" max="4"/>
  </cols>
  <sheetData>
    <row r="1" ht="17.25" customHeight="1" s="33">
      <c r="A1" s="34" t="inlineStr">
        <is>
          <t>5 · Lộ trình 1 slide cho lãnh đạo</t>
        </is>
      </c>
    </row>
    <row r="2" ht="15" customHeight="1" s="33">
      <c r="A2" s="35" t="inlineStr">
        <is>
          <t>Kết luận trước. Không quá 60 chữ mỗi ô (cột C tự đếm).</t>
        </is>
      </c>
    </row>
    <row r="3" ht="15" customHeight="1" s="33">
      <c r="C3" s="57" t="inlineStr">
        <is>
          <t>Số chữ</t>
        </is>
      </c>
      <c r="D3" s="57" t="inlineStr">
        <is>
          <t>Đạt?</t>
        </is>
      </c>
    </row>
    <row r="4" ht="33.75" customHeight="1" s="33">
      <c r="A4" s="57" t="inlineStr">
        <is>
          <t>Kết luận (1 câu)</t>
        </is>
      </c>
      <c r="B4" s="40" t="inlineStr">
        <is>
          <t>Chưa phát hành RaViện. Tháng 1 sửa lỗi liều insulin bằng đối chiếu thuốc với y lệnh cuối, chạy lại bộ đề 45 hồ sơ đến 0 lỗi nghiêm trọng; rồi thử nghiệm 3 tháng tại 1 khoa nội, bác sĩ ký 100%, dược sĩ kiểm thuốc 100%.</t>
        </is>
      </c>
      <c r="C4" s="58">
        <f>IF(TRIM(B4)="",0,LEN(TRIM(B4))-LEN(SUBSTITUTE(TRIM(B4)," ",""))+1)</f>
        <v/>
      </c>
      <c r="D4" s="50">
        <f>IF(C4=0,"Trống",IF(C4&gt;60,"Quá 60 chữ","Đạt"))</f>
        <v/>
      </c>
    </row>
    <row r="5" ht="33.75" customHeight="1" s="33">
      <c r="A5" s="57" t="inlineStr">
        <is>
          <t>3 việc chính</t>
        </is>
      </c>
      <c r="B5" s="40" t="inlineStr">
        <is>
          <t>1) Đối chiếu thuốc ra viện với y lệnh cuối: 0 lỗi thuốc. 2) Soạn nháp tóm tắt ra viện: bác sĩ từ 15–20 xuống ≤ 6 phút/bản. 3) Đo tỷ lệ bản phải sửa nhiều hằng tuần, ngưỡng 30%.</t>
        </is>
      </c>
      <c r="C5" s="58">
        <f>IF(TRIM(B5)="",0,LEN(TRIM(B5))-LEN(SUBSTITUTE(TRIM(B5)," ",""))+1)</f>
        <v/>
      </c>
      <c r="D5" s="50">
        <f>IF(C5=0,"Trống",IF(C5&gt;60,"Quá 60 chữ","Đạt"))</f>
        <v/>
      </c>
    </row>
    <row r="6" ht="33.75" customHeight="1" s="33">
      <c r="A6" s="57" t="inlineStr">
        <is>
          <t>Cần gì (người, tiền, dữ liệu)</t>
        </is>
      </c>
      <c r="B6" s="40" t="inlineStr">
        <is>
          <t>Khoảng 23 giờ chuyên gia chấm lại bộ đề (DS. Hải, BS. Phương); dược sĩ kiểm thuốc 60 giờ/tháng khi thử nghiệm; y lệnh điện tử và hạ tầng trong bệnh viện; hợp đồng 15 triệu/khoa/tháng trước tháng 6.</t>
        </is>
      </c>
      <c r="C6" s="58">
        <f>IF(TRIM(B6)="",0,LEN(TRIM(B6))-LEN(SUBSTITUTE(TRIM(B6)," ",""))+1)</f>
        <v/>
      </c>
      <c r="D6" s="50">
        <f>IF(C6=0,"Trống",IF(C6&gt;60,"Quá 60 chữ","Đạt"))</f>
        <v/>
      </c>
    </row>
    <row r="7" ht="33.75" customHeight="1" s="33">
      <c r="A7" s="57" t="inlineStr">
        <is>
          <t>Rủi ro lớn nhất &amp; cách xử lý</t>
        </is>
      </c>
      <c r="B7" s="40" t="inlineStr">
        <is>
          <t>Lỗi thuốc lọt đến người bệnh: bác sĩ ký 100%, dược sĩ kiểm 100% đến khi 1.500 bản liên tiếp 0 lỗi; 1 lỗi lọt là dừng. Bệnh viện ký chậm thì hết tiền tháng 9: chốt hợp đồng trước tháng 6.</t>
        </is>
      </c>
      <c r="C7" s="58">
        <f>IF(TRIM(B7)="",0,LEN(TRIM(B7))-LEN(SUBSTITUTE(TRIM(B7)," ",""))+1)</f>
        <v/>
      </c>
      <c r="D7" s="50">
        <f>IF(C7=0,"Trống",IF(C7&gt;60,"Quá 60 chữ","Đạt"))</f>
        <v/>
      </c>
    </row>
    <row r="8" ht="33.75" customHeight="1" s="33">
      <c r="A8" s="57" t="inlineStr">
        <is>
          <t>Khi nào xem lại</t>
        </is>
      </c>
      <c r="B8" s="40" t="inlineStr">
        <is>
          <t>Ngày 30 (cổng bộ đề), ngày 60, ngày 90. Hết tháng 3 thử nghiệm: sửa nhiều trên 30% hoặc 1 lỗi thuốc lọt thì dừng, không mở khoa khác.</t>
        </is>
      </c>
      <c r="C8" s="58">
        <f>IF(TRIM(B8)="",0,LEN(TRIM(B8))-LEN(SUBSTITUTE(TRIM(B8)," ",""))+1)</f>
        <v/>
      </c>
      <c r="D8" s="50">
        <f>IF(C8=0,"Trống",IF(C8&gt;60,"Quá 60 chữ","Đạt"))</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C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6" customWidth="1" style="32" min="1" max="1"/>
    <col width="14" customWidth="1" style="32" min="2" max="3"/>
  </cols>
  <sheetData>
    <row r="1" ht="17.25" customHeight="1" s="33">
      <c r="A1" s="34" t="inlineStr">
        <is>
          <t>6 · Tự kiểm tra</t>
        </is>
      </c>
    </row>
    <row r="2" ht="15" customHeight="1" s="33">
      <c r="A2" s="35" t="inlineStr">
        <is>
          <t>Chưa 'Đạt' thì quay lại sửa trước khi nộp file.</t>
        </is>
      </c>
    </row>
    <row r="4" ht="15" customHeight="1" s="33">
      <c r="A4" s="42" t="inlineStr">
        <is>
          <t>Điểm kiểm tra</t>
        </is>
      </c>
      <c r="B4" s="42" t="inlineStr">
        <is>
          <t>Kết quả</t>
        </is>
      </c>
      <c r="C4" s="42" t="inlineStr">
        <is>
          <t>Đạt?</t>
        </is>
      </c>
    </row>
    <row r="5" ht="15" customHeight="1" s="33">
      <c r="A5" s="43" t="inlineStr">
        <is>
          <t>Số việc đã chấm điểm (cần ≥ 5)</t>
        </is>
      </c>
      <c r="B5" s="44">
        <f>COUNT('1_Danh sách việc'!M5:M14)</f>
        <v/>
      </c>
      <c r="C5" s="44">
        <f>IF(B5&gt;=5,"Đạt","Xem lại")</f>
        <v/>
      </c>
    </row>
    <row r="6" ht="15" customHeight="1" s="33">
      <c r="A6" s="43" t="inlineStr">
        <is>
          <t>Việc được giữ lại mà thiếu giả thuyết hoặc chỉ số có con số (cần = 0)</t>
        </is>
      </c>
      <c r="B6" s="44">
        <f>COUNTIFS('1_Danh sách việc'!O5:O14,"Thiếu",'1_Danh sách việc'!P5:P14,"&lt;&gt;Không làm")</f>
        <v/>
      </c>
      <c r="C6" s="44">
        <f>IF(B5=0,"",IF(B6=0,"Đạt","Xem lại"))</f>
        <v/>
      </c>
    </row>
    <row r="7" ht="15" customHeight="1" s="33">
      <c r="A7" s="43" t="inlineStr">
        <is>
          <t>Số mức tự động có cổng đánh giá kèm con số (cần ≥ 2, không tính Mức 0)</t>
        </is>
      </c>
      <c r="B7" s="44">
        <f>COUNTIF('2_Mức tự động'!M6:M8,"Có")</f>
        <v/>
      </c>
      <c r="C7" s="44">
        <f>IF(B7&gt;=2,"Đạt","Xem lại")</f>
        <v/>
      </c>
    </row>
    <row r="8" ht="15" customHeight="1" s="33">
      <c r="A8" s="43" t="inlineStr">
        <is>
          <t>Bảng lộ trình: số ô tầng 'Bây giờ' đã điền (cần 8/8)</t>
        </is>
      </c>
      <c r="B8" s="44">
        <f>COUNTA('3_Bảng lộ trình'!B5:B12)</f>
        <v/>
      </c>
      <c r="C8" s="44">
        <f>IF(B8=8,"Đạt","Xem lại")</f>
        <v/>
      </c>
    </row>
    <row r="9" ht="15" customHeight="1" s="33">
      <c r="A9" s="43" t="inlineStr">
        <is>
          <t>Điều kiện dừng tầng 'Bây giờ' có con số</t>
        </is>
      </c>
      <c r="B9" s="44">
        <f>IF(AND(LEN('3_Bảng lộ trình'!B12)&gt;10,SUMPRODUCT(--ISNUMBER(SEARCH({"0","1","2","3","4","5","6","7","8","9"},'3_Bảng lộ trình'!B12)))&gt;0),"Có","Chưa")</f>
        <v/>
      </c>
      <c r="C9" s="44">
        <f>IF(B9="Có","Đạt","Xem lại")</f>
        <v/>
      </c>
    </row>
    <row r="10" ht="15" customHeight="1" s="33">
      <c r="A10" s="43" t="inlineStr">
        <is>
          <t>Căn cứ kinh tế có con số (từ số liệu của đề)</t>
        </is>
      </c>
      <c r="B10" s="44">
        <f>IF(AND(LEN('3_Bảng lộ trình'!B11)&gt;10,SUMPRODUCT(--ISNUMBER(SEARCH({"0","1","2","3","4","5","6","7","8","9"},'3_Bảng lộ trình'!B11)))&gt;0),"Có","Chưa")</f>
        <v/>
      </c>
      <c r="C10" s="44">
        <f>IF(B10="Có","Đạt","Xem lại")</f>
        <v/>
      </c>
    </row>
    <row r="11" ht="15" customHeight="1" s="33">
      <c r="A11" s="43" t="inlineStr">
        <is>
          <t>Slide lãnh đạo: số ô đạt (đủ chữ, không quá 60 chữ; cần 5)</t>
        </is>
      </c>
      <c r="B11" s="44">
        <f>COUNTIF('5_Slide lãnh đạo'!D4:D8,"Đạt")</f>
        <v/>
      </c>
      <c r="C11" s="44">
        <f>IF(B11=5,"Đạt","Xem lại")</f>
        <v/>
      </c>
    </row>
    <row r="12" ht="15" customHeight="1" s="33">
      <c r="A12" s="43" t="inlineStr">
        <is>
          <t>Số mức tự động có biên lợi nhuận ≥ 60% (cần ≥ 1)</t>
        </is>
      </c>
      <c r="B12" s="44">
        <f>COUNTIF('2_Mức tự động'!L5:L8,"Đạt")</f>
        <v/>
      </c>
      <c r="C12" s="44">
        <f>IF(B12&gt;=1,"Đạt","Xem lại")</f>
        <v/>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D2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2" customWidth="1" style="32" min="1" max="1"/>
    <col width="30" customWidth="1" style="32" min="2" max="2"/>
    <col width="80" customWidth="1" style="32" min="3" max="3"/>
    <col width="40" customWidth="1" style="32" min="4" max="4"/>
  </cols>
  <sheetData>
    <row r="1" ht="17.25" customHeight="1" s="33">
      <c r="A1" s="34" t="inlineStr">
        <is>
          <t>7 · Thang điểm sản phẩm (100 điểm)</t>
        </is>
      </c>
    </row>
    <row r="2" ht="15" customHeight="1" s="33">
      <c r="A2" s="35" t="n"/>
    </row>
    <row r="4" ht="15" customHeight="1" s="33">
      <c r="A4" s="42" t="inlineStr">
        <is>
          <t>Tiêu chí</t>
        </is>
      </c>
      <c r="B4" s="42" t="inlineStr">
        <is>
          <t>Điểm</t>
        </is>
      </c>
      <c r="C4" s="42" t="inlineStr">
        <is>
          <t>Bài đạt khi</t>
        </is>
      </c>
      <c r="D4" s="42" t="inlineStr">
        <is>
          <t>Điểm nhóm</t>
        </is>
      </c>
    </row>
    <row r="5" ht="15" customHeight="1" s="33">
      <c r="A5" s="43" t="inlineStr">
        <is>
          <t>Theo kết quả và giả thuyết</t>
        </is>
      </c>
      <c r="B5" s="32" t="n">
        <v>20</v>
      </c>
      <c r="C5" s="59" t="inlineStr">
        <is>
          <t>Mỗi việc có giả thuyết, chỉ số và ngưỡng, không chỉ là tên tính năng</t>
        </is>
      </c>
      <c r="D5" s="60" t="n"/>
    </row>
    <row r="6" ht="15" customHeight="1" s="33">
      <c r="A6" s="43" t="inlineStr">
        <is>
          <t>Ưu tiên có căn cứ</t>
        </is>
      </c>
      <c r="B6" s="32" t="n">
        <v>20</v>
      </c>
      <c r="C6" s="59" t="inlineStr">
        <is>
          <t>Bảng điểm ≥ 5 việc; có sẵn sàng dữ liệu, đánh giá và rủi ro bị nuốt; dùng số liệu kinh tế của đề; đổi thứ tự hoặc bỏ việc thì ghi lý do</t>
        </is>
      </c>
      <c r="D6" s="60" t="n"/>
    </row>
    <row r="7" ht="15" customHeight="1" s="33">
      <c r="A7" s="43" t="inlineStr">
        <is>
          <t>Mức tự động và cổng đánh giá</t>
        </is>
      </c>
      <c r="B7" s="32" t="n">
        <v>25</v>
      </c>
      <c r="C7" s="59" t="inlineStr">
        <is>
          <t>≥ 2 mức có cổng bằng con số (chỉ số, ngưỡng, cỡ mẫu); có vai trò của người; có chi phí mỗi việc theo mức</t>
        </is>
      </c>
      <c r="D7" s="60" t="n"/>
    </row>
    <row r="8" ht="15" customHeight="1" s="33">
      <c r="A8" s="43" t="inlineStr">
        <is>
          <t>Điều kiện cần và rủi ro</t>
        </is>
      </c>
      <c r="B8" s="32" t="n">
        <v>15</v>
      </c>
      <c r="C8" s="59" t="inlineStr">
        <is>
          <t>Nêu dữ liệu, hạ tầng, tuân thủ; điều kiện dừng đo được với quy mô thử nghiệm; có lịch rà soát</t>
        </is>
      </c>
      <c r="D8" s="60" t="n"/>
    </row>
    <row r="9" ht="15" customHeight="1" s="33">
      <c r="A9" s="43" t="inlineStr">
        <is>
          <t>Slide lãnh đạo</t>
        </is>
      </c>
      <c r="B9" s="32" t="n">
        <v>20</v>
      </c>
      <c r="C9" s="59" t="inlineStr">
        <is>
          <t>Kết luận trước, ≤ 60 chữ mỗi ô, trả lời được "cần gì" và "khi nào xem lại"</t>
        </is>
      </c>
      <c r="D9" s="60" t="n"/>
    </row>
    <row r="10" ht="15" customHeight="1" s="33">
      <c r="A10" s="41" t="inlineStr">
        <is>
          <t>TỔNG</t>
        </is>
      </c>
      <c r="B10" s="32">
        <f>SUM(B5:B9)</f>
        <v/>
      </c>
      <c r="D10" s="44">
        <f>SUM(D5:D9)</f>
        <v/>
      </c>
    </row>
    <row r="12" ht="15" customHeight="1" s="33">
      <c r="A12" s="41" t="n"/>
      <c r="D12" s="60" t="n"/>
    </row>
    <row r="15" ht="15" customHeight="1" s="33">
      <c r="A15" s="61" t="inlineStr">
        <is>
          <t>THANG ĐIỂM TRÌNH BÀY (1–5 điểm mỗi tiêu chí)</t>
        </is>
      </c>
    </row>
    <row r="16" ht="15" customHeight="1" s="33">
      <c r="A16" s="42" t="inlineStr">
        <is>
          <t>Tiêu chí</t>
        </is>
      </c>
      <c r="B16" s="42" t="inlineStr">
        <is>
          <t>Mức 1</t>
        </is>
      </c>
      <c r="C16" s="42" t="inlineStr">
        <is>
          <t>Mức 3</t>
        </is>
      </c>
      <c r="D16" s="42" t="inlineStr">
        <is>
          <t>Mức 5</t>
        </is>
      </c>
    </row>
    <row r="17" ht="45.75" customHeight="1" s="33">
      <c r="A17" s="62" t="inlineStr">
        <is>
          <t>Rõ ràng</t>
        </is>
      </c>
      <c r="B17" s="63" t="inlineStr">
        <is>
          <t>Câu đầu chưa có kết luận; người nghe phải đoán nhóm làm gì trước</t>
        </is>
      </c>
      <c r="C17" s="63" t="inlineStr">
        <is>
          <t>Có kết luận nhưng nói sau phần mở đầu, hoặc thiếu mốc quyết định</t>
        </is>
      </c>
      <c r="D17" s="63" t="inlineStr">
        <is>
          <t>Câu đầu có việc làm trước, mục tiêu bằng số và ngày quyết định</t>
        </is>
      </c>
    </row>
    <row r="18" ht="45.75" customHeight="1" s="33">
      <c r="A18" s="62" t="inlineStr">
        <is>
          <t>Bằng chứng</t>
        </is>
      </c>
      <c r="B18" s="63" t="inlineStr">
        <is>
          <t>Không có cổng đánh giá, hoặc số không có nguồn</t>
        </is>
      </c>
      <c r="C18" s="63" t="inlineStr">
        <is>
          <t>Có cổng nhưng thiếu cỡ mẫu hoặc căn cứ kinh tế</t>
        </is>
      </c>
      <c r="D18" s="63" t="inlineStr">
        <is>
          <t>Cổng đủ chỉ số, ngưỡng, cỡ mẫu; căn cứ kinh tế lấy từ số liệu của đề</t>
        </is>
      </c>
    </row>
    <row r="19" ht="45.75" customHeight="1" s="33">
      <c r="A19" s="62" t="inlineStr">
        <is>
          <t>Trả lời phản biện</t>
        </is>
      </c>
      <c r="B19" s="63" t="inlineStr">
        <is>
          <t>Né câu hỏi hoặc trả lời chung chung</t>
        </is>
      </c>
      <c r="C19" s="63" t="inlineStr">
        <is>
          <t>Trả lời đúng ý nhưng không dẫn số</t>
        </is>
      </c>
      <c r="D19" s="63" t="inlineStr">
        <is>
          <t>Trả lời thẳng, dẫn đúng con số trong file</t>
        </is>
      </c>
    </row>
    <row r="20" ht="45.75" customHeight="1" s="33">
      <c r="A20" s="62" t="inlineStr">
        <is>
          <t>Đúng giờ</t>
        </is>
      </c>
      <c r="B20" s="63" t="inlineStr">
        <is>
          <t>Quá 4 phút</t>
        </is>
      </c>
      <c r="C20" s="63" t="inlineStr">
        <is>
          <t>Từ 3 đến 4 phút</t>
        </is>
      </c>
      <c r="D20" s="63" t="inlineStr">
        <is>
          <t>Không quá 3 phút</t>
        </is>
      </c>
    </row>
    <row r="22" ht="15" customHeight="1" s="33">
      <c r="A22" s="53" t="inlineStr">
        <is>
          <t>Mức 2 và 4 dùng khi bài nằm giữa hai mô tả. Bản chuẩn của buổi học không có phần trình bày trên lớp: điểm buổi = thang sản phẩm 100 điểm ở trên. Thang trình bày chỉ dùng khi giảng viên tổ chức trình bày.</t>
        </is>
      </c>
    </row>
  </sheetData>
  <sheetProtection selectLockedCells="0" selectUnlockedCells="0" sheet="1" objects="0" insertRows="1" insertHyperlinks="1" autoFilter="1" scenarios="0" formatColumns="0" deleteColumns="1" insertColumns="1" pivotTables="1" deleteRows="1" formatCells="1" formatRows="0"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2026-10-04T05:24:07Z</dcterms:created>
  <dcterms:modified xmlns:dcterms="http://purl.org/dc/terms/" xmlns:xsi="http://www.w3.org/2001/XMLSchema-instance" xsi:type="dcterms:W3CDTF">2026-10-16T09:24:58Z</dcterms:modified>
  <cp:revision>0</cp:revision>
</cp:coreProperties>
</file>